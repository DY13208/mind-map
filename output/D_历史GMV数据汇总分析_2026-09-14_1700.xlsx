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GMV汇总_填报模板" sheetId="1" state="visible" r:id="rId1"/>
    <sheet xmlns:r="http://schemas.openxmlformats.org/officeDocument/2006/relationships" name="取数口径与规则" sheetId="2" state="visible" r:id="rId2"/>
    <sheet xmlns:r="http://schemas.openxmlformats.org/officeDocument/2006/relationships" name="数据缺口与动作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color rgb="007F7F7F"/>
      <sz val="9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0" fontId="5" fillId="5" borderId="1" pivotButton="0" quotePrefix="0" xfId="0"/>
    <xf numFmtId="164" fontId="5" fillId="5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34" customWidth="1" min="4" max="4"/>
    <col width="17" customWidth="1" min="5" max="5"/>
    <col width="15" customWidth="1" min="6" max="6"/>
    <col width="26" customWidth="1" min="7" max="7"/>
    <col width="15" customWidth="1" min="8" max="8"/>
    <col width="14" customWidth="1" min="9" max="9"/>
    <col width="10" customWidth="1" min="10" max="10"/>
    <col width="15" customWidth="1" min="11" max="11"/>
    <col width="14" customWidth="1" min="12" max="12"/>
    <col width="10" customWidth="1" min="13" max="13"/>
    <col width="14" customWidth="1" min="14" max="14"/>
    <col width="10" customWidth="1" min="15" max="15"/>
  </cols>
  <sheetData>
    <row r="1" ht="24" customHeight="1">
      <c r="A1" s="1" t="inlineStr">
        <is>
          <t>D：历史GMV数据汇总分析 — 全渠道 GMV/实收 汇总填报模板（数值列待业务/财务回填）</t>
        </is>
      </c>
    </row>
    <row r="2">
      <c r="A2" s="2" t="inlineStr">
        <is>
          <t>数据源：销售日报表(smartsheet，实收/GMV 双维度) + 2026年渠道目标(sheet) + B2B的GMV维度销售数据登记表；口径见「取数口径与规则」页</t>
        </is>
      </c>
    </row>
    <row r="4">
      <c r="A4" s="3" t="inlineStr">
        <is>
          <t>序号</t>
        </is>
      </c>
      <c r="B4" s="3" t="inlineStr">
        <is>
          <t>部门(一级)</t>
        </is>
      </c>
      <c r="C4" s="3" t="inlineStr">
        <is>
          <t>渠道/平台(二级)</t>
        </is>
      </c>
      <c r="D4" s="3" t="inlineStr">
        <is>
          <t>店铺(三级)</t>
        </is>
      </c>
      <c r="E4" s="3" t="inlineStr">
        <is>
          <t>渠道编码(唯一识别)</t>
        </is>
      </c>
      <c r="F4" s="3" t="inlineStr">
        <is>
          <t>渠道定位(SOP口径)</t>
        </is>
      </c>
      <c r="G4" s="3" t="inlineStr">
        <is>
          <t>增长要求</t>
        </is>
      </c>
      <c r="H4" s="3" t="inlineStr">
        <is>
          <t>年度GMV目标(元)</t>
        </is>
      </c>
      <c r="I4" s="3" t="inlineStr">
        <is>
          <t>累计GMV(元)</t>
        </is>
      </c>
      <c r="J4" s="3" t="inlineStr">
        <is>
          <t>GMV完成率</t>
        </is>
      </c>
      <c r="K4" s="3" t="inlineStr">
        <is>
          <t>年度实收目标(元)</t>
        </is>
      </c>
      <c r="L4" s="3" t="inlineStr">
        <is>
          <t>累计实收(元)</t>
        </is>
      </c>
      <c r="M4" s="3" t="inlineStr">
        <is>
          <t>实收完成率</t>
        </is>
      </c>
      <c r="N4" s="3" t="inlineStr">
        <is>
          <t>目标来源表</t>
        </is>
      </c>
      <c r="O4" s="3" t="inlineStr">
        <is>
          <t>填数状态</t>
        </is>
      </c>
    </row>
    <row r="5">
      <c r="A5" s="4" t="n">
        <v>1</v>
      </c>
      <c r="B5" s="4" t="inlineStr">
        <is>
          <t>个护部</t>
        </is>
      </c>
      <c r="C5" s="5" t="inlineStr">
        <is>
          <t>天猫</t>
        </is>
      </c>
      <c r="D5" s="4" t="inlineStr">
        <is>
          <t>个护部天猫UNOVE柔诺伊官方旗舰店</t>
        </is>
      </c>
      <c r="E5" s="6" t="inlineStr">
        <is>
          <t>13CHAN10030</t>
        </is>
      </c>
      <c r="F5" s="4" t="inlineStr">
        <is>
          <t>核心直营渠道</t>
        </is>
      </c>
      <c r="G5" s="5" t="inlineStr">
        <is>
          <t>按比例高增长</t>
        </is>
      </c>
      <c r="H5" s="7" t="n"/>
      <c r="I5" s="7" t="n"/>
      <c r="J5" s="8">
        <f>IF(OR(H5="",H5=0),"待回填",I5/H5)</f>
        <v/>
      </c>
      <c r="K5" s="7" t="n"/>
      <c r="L5" s="7" t="n"/>
      <c r="M5" s="8">
        <f>IF(OR(K5="",K5=""),"待回填",L5/K5)</f>
        <v/>
      </c>
      <c r="N5" s="4" t="inlineStr">
        <is>
          <t>2026年渠道目标</t>
        </is>
      </c>
      <c r="O5" s="4" t="inlineStr">
        <is>
          <t>待回填</t>
        </is>
      </c>
    </row>
    <row r="6">
      <c r="A6" s="4" t="n">
        <v>2</v>
      </c>
      <c r="B6" s="4" t="inlineStr">
        <is>
          <t>个护部</t>
        </is>
      </c>
      <c r="C6" s="5" t="inlineStr">
        <is>
          <t>天猫国际</t>
        </is>
      </c>
      <c r="D6" s="4" t="inlineStr">
        <is>
          <t>个护部天猫UNOVE海外旗舰店</t>
        </is>
      </c>
      <c r="E6" s="6" t="inlineStr">
        <is>
          <t>13CHAN10039</t>
        </is>
      </c>
      <c r="F6" s="4" t="inlineStr">
        <is>
          <t>核心直营渠道</t>
        </is>
      </c>
      <c r="G6" s="5" t="inlineStr">
        <is>
          <t>按比例高增长</t>
        </is>
      </c>
      <c r="H6" s="7" t="n"/>
      <c r="I6" s="7" t="n"/>
      <c r="J6" s="8">
        <f>IF(OR(H6="",H6=0),"待回填",I6/H6)</f>
        <v/>
      </c>
      <c r="K6" s="7" t="n"/>
      <c r="L6" s="7" t="n"/>
      <c r="M6" s="8">
        <f>IF(OR(K6="",K6=""),"待回填",L6/K6)</f>
        <v/>
      </c>
      <c r="N6" s="4" t="inlineStr">
        <is>
          <t>2026年渠道目标</t>
        </is>
      </c>
      <c r="O6" s="4" t="inlineStr">
        <is>
          <t>待回填</t>
        </is>
      </c>
    </row>
    <row r="7">
      <c r="A7" s="4" t="n">
        <v>3</v>
      </c>
      <c r="B7" s="4" t="inlineStr">
        <is>
          <t>直播组</t>
        </is>
      </c>
      <c r="C7" s="5" t="inlineStr">
        <is>
          <t>抖音</t>
        </is>
      </c>
      <c r="D7" s="4" t="inlineStr">
        <is>
          <t>直播组抖音UNOVE柔诺伊官方旗舰店</t>
        </is>
      </c>
      <c r="E7" s="6" t="inlineStr">
        <is>
          <t>13CHAN10132</t>
        </is>
      </c>
      <c r="F7" s="4" t="inlineStr">
        <is>
          <t>核心直营渠道</t>
        </is>
      </c>
      <c r="G7" s="5" t="inlineStr">
        <is>
          <t>按比例高增长</t>
        </is>
      </c>
      <c r="H7" s="7" t="n"/>
      <c r="I7" s="7" t="n"/>
      <c r="J7" s="8">
        <f>IF(OR(H7="",H7=0),"待回填",I7/H7)</f>
        <v/>
      </c>
      <c r="K7" s="7" t="n"/>
      <c r="L7" s="7" t="n"/>
      <c r="M7" s="8">
        <f>IF(OR(K7="",K7=""),"待回填",L7/K7)</f>
        <v/>
      </c>
      <c r="N7" s="4" t="inlineStr">
        <is>
          <t>2026年渠道目标</t>
        </is>
      </c>
      <c r="O7" s="4" t="inlineStr">
        <is>
          <t>待回填</t>
        </is>
      </c>
    </row>
    <row r="8">
      <c r="A8" s="4" t="n">
        <v>4</v>
      </c>
      <c r="B8" s="4" t="inlineStr">
        <is>
          <t>直播组</t>
        </is>
      </c>
      <c r="C8" s="5" t="inlineStr">
        <is>
          <t>抖音</t>
        </is>
      </c>
      <c r="D8" s="4" t="inlineStr">
        <is>
          <t>直播组抖音UNOVE柔诺伊个人护理旗舰店</t>
        </is>
      </c>
      <c r="E8" s="6" t="inlineStr">
        <is>
          <t>13CHAN10029</t>
        </is>
      </c>
      <c r="F8" s="4" t="inlineStr">
        <is>
          <t>核心直营渠道</t>
        </is>
      </c>
      <c r="G8" s="5" t="inlineStr">
        <is>
          <t>按比例高增长</t>
        </is>
      </c>
      <c r="H8" s="7" t="n"/>
      <c r="I8" s="7" t="n"/>
      <c r="J8" s="8">
        <f>IF(OR(H8="",H8=0),"待回填",I8/H8)</f>
        <v/>
      </c>
      <c r="K8" s="7" t="n"/>
      <c r="L8" s="7" t="n"/>
      <c r="M8" s="8">
        <f>IF(OR(K8="",K8=""),"待回填",L8/K8)</f>
        <v/>
      </c>
      <c r="N8" s="4" t="inlineStr">
        <is>
          <t>2026年渠道目标</t>
        </is>
      </c>
      <c r="O8" s="4" t="inlineStr">
        <is>
          <t>待回填</t>
        </is>
      </c>
    </row>
    <row r="9">
      <c r="A9" s="4" t="n">
        <v>5</v>
      </c>
      <c r="B9" s="4" t="inlineStr">
        <is>
          <t>直播组</t>
        </is>
      </c>
      <c r="C9" s="5" t="inlineStr">
        <is>
          <t>快手</t>
        </is>
      </c>
      <c r="D9" s="4" t="inlineStr">
        <is>
          <t>直播组快手UNOVE柔诺伊旗舰店</t>
        </is>
      </c>
      <c r="E9" s="6" t="inlineStr">
        <is>
          <t>13CHAN10033</t>
        </is>
      </c>
      <c r="F9" s="4" t="inlineStr">
        <is>
          <t>核心直营渠道</t>
        </is>
      </c>
      <c r="G9" s="5" t="inlineStr">
        <is>
          <t>按比例高增长</t>
        </is>
      </c>
      <c r="H9" s="7" t="n"/>
      <c r="I9" s="7" t="n"/>
      <c r="J9" s="8">
        <f>IF(OR(H9="",H9=0),"待回填",I9/H9)</f>
        <v/>
      </c>
      <c r="K9" s="7" t="n"/>
      <c r="L9" s="7" t="n"/>
      <c r="M9" s="8">
        <f>IF(OR(K9="",K9=""),"待回填",L9/K9)</f>
        <v/>
      </c>
      <c r="N9" s="4" t="inlineStr">
        <is>
          <t>2026年渠道目标</t>
        </is>
      </c>
      <c r="O9" s="4" t="inlineStr">
        <is>
          <t>待回填</t>
        </is>
      </c>
    </row>
    <row r="10">
      <c r="A10" s="4" t="n">
        <v>6</v>
      </c>
      <c r="B10" s="4" t="inlineStr">
        <is>
          <t>直播组</t>
        </is>
      </c>
      <c r="C10" s="5" t="inlineStr">
        <is>
          <t>小红书</t>
        </is>
      </c>
      <c r="D10" s="4" t="inlineStr">
        <is>
          <t>直播组小红书UNOVE柔诺伊旗舰店</t>
        </is>
      </c>
      <c r="E10" s="6" t="inlineStr">
        <is>
          <t>13CHAN10041</t>
        </is>
      </c>
      <c r="F10" s="4" t="inlineStr">
        <is>
          <t>核心直营渠道</t>
        </is>
      </c>
      <c r="G10" s="5" t="inlineStr">
        <is>
          <t>豁免：保持在售即可，不要求按比例增长</t>
        </is>
      </c>
      <c r="H10" s="7" t="n"/>
      <c r="I10" s="7" t="n"/>
      <c r="J10" s="8">
        <f>IF(OR(H10="",H10=0),"待回填",I10/H10)</f>
        <v/>
      </c>
      <c r="K10" s="7" t="n"/>
      <c r="L10" s="7" t="n"/>
      <c r="M10" s="8">
        <f>IF(OR(K10="",K10=""),"待回填",L10/K10)</f>
        <v/>
      </c>
      <c r="N10" s="4" t="inlineStr">
        <is>
          <t>2026年渠道目标</t>
        </is>
      </c>
      <c r="O10" s="4" t="inlineStr">
        <is>
          <t>待回填</t>
        </is>
      </c>
    </row>
    <row r="11">
      <c r="A11" s="4" t="n">
        <v>7</v>
      </c>
      <c r="B11" s="4" t="inlineStr">
        <is>
          <t>直供组</t>
        </is>
      </c>
      <c r="C11" s="5" t="inlineStr">
        <is>
          <t>天猫超市</t>
        </is>
      </c>
      <c r="D11" s="4" t="inlineStr">
        <is>
          <t>直供组天猫超市供货-UNOVE</t>
        </is>
      </c>
      <c r="E11" s="6" t="inlineStr">
        <is>
          <t>13CHAN40025-04</t>
        </is>
      </c>
      <c r="F11" s="4" t="inlineStr">
        <is>
          <t>正常直营渠道</t>
        </is>
      </c>
      <c r="G11" s="5" t="inlineStr">
        <is>
          <t>按比例增长（低于核心直营）</t>
        </is>
      </c>
      <c r="H11" s="7" t="n"/>
      <c r="I11" s="7" t="n"/>
      <c r="J11" s="8">
        <f>IF(OR(H11="",H11=0),"待回填",I11/H11)</f>
        <v/>
      </c>
      <c r="K11" s="7" t="n"/>
      <c r="L11" s="7" t="n"/>
      <c r="M11" s="8">
        <f>IF(OR(K11="",K11=""),"待回填",L11/K11)</f>
        <v/>
      </c>
      <c r="N11" s="4" t="inlineStr">
        <is>
          <t>2026年渠道目标</t>
        </is>
      </c>
      <c r="O11" s="4" t="inlineStr">
        <is>
          <t>待回填</t>
        </is>
      </c>
    </row>
    <row r="12">
      <c r="A12" s="4" t="n">
        <v>8</v>
      </c>
      <c r="B12" s="4" t="inlineStr">
        <is>
          <t>直供组</t>
        </is>
      </c>
      <c r="C12" s="5" t="inlineStr">
        <is>
          <t>京东</t>
        </is>
      </c>
      <c r="D12" s="4" t="inlineStr">
        <is>
          <t>直供组商务UNOVE京东自营旗舰店</t>
        </is>
      </c>
      <c r="E12" s="6" t="inlineStr">
        <is>
          <t>13CHAN10100</t>
        </is>
      </c>
      <c r="F12" s="4" t="inlineStr">
        <is>
          <t>正常直营渠道</t>
        </is>
      </c>
      <c r="G12" s="5" t="inlineStr">
        <is>
          <t>按比例增长（低于核心直营）</t>
        </is>
      </c>
      <c r="H12" s="7" t="n"/>
      <c r="I12" s="7" t="n"/>
      <c r="J12" s="8">
        <f>IF(OR(H12="",H12=0),"待回填",I12/H12)</f>
        <v/>
      </c>
      <c r="K12" s="7" t="n"/>
      <c r="L12" s="7" t="n"/>
      <c r="M12" s="8">
        <f>IF(OR(K12="",K12=""),"待回填",L12/K12)</f>
        <v/>
      </c>
      <c r="N12" s="4" t="inlineStr">
        <is>
          <t>2026年渠道目标</t>
        </is>
      </c>
      <c r="O12" s="4" t="inlineStr">
        <is>
          <t>待回填</t>
        </is>
      </c>
    </row>
    <row r="13">
      <c r="A13" s="4" t="n">
        <v>9</v>
      </c>
      <c r="B13" s="4" t="inlineStr">
        <is>
          <t>直供组</t>
        </is>
      </c>
      <c r="C13" s="5" t="inlineStr">
        <is>
          <t>京东</t>
        </is>
      </c>
      <c r="D13" s="4" t="inlineStr">
        <is>
          <t>赛燃UNOVE海外京东自营旗舰店</t>
        </is>
      </c>
      <c r="E13" s="6" t="inlineStr">
        <is>
          <t>SAIRAN0021</t>
        </is>
      </c>
      <c r="F13" s="4" t="inlineStr">
        <is>
          <t>正常直营渠道</t>
        </is>
      </c>
      <c r="G13" s="5" t="inlineStr">
        <is>
          <t>按比例增长（低于核心直营）</t>
        </is>
      </c>
      <c r="H13" s="7" t="n"/>
      <c r="I13" s="7" t="n"/>
      <c r="J13" s="8">
        <f>IF(OR(H13="",H13=0),"待回填",I13/H13)</f>
        <v/>
      </c>
      <c r="K13" s="7" t="n"/>
      <c r="L13" s="7" t="n"/>
      <c r="M13" s="8">
        <f>IF(OR(K13="",K13=""),"待回填",L13/K13)</f>
        <v/>
      </c>
      <c r="N13" s="4" t="inlineStr">
        <is>
          <t>2026年渠道目标</t>
        </is>
      </c>
      <c r="O13" s="4" t="inlineStr">
        <is>
          <t>待回填</t>
        </is>
      </c>
    </row>
    <row r="14">
      <c r="A14" s="4" t="n">
        <v>10</v>
      </c>
      <c r="B14" s="4" t="inlineStr">
        <is>
          <t>直供组</t>
        </is>
      </c>
      <c r="C14" s="5" t="inlineStr">
        <is>
          <t>得物</t>
        </is>
      </c>
      <c r="D14" s="4" t="inlineStr">
        <is>
          <t>得物大贸UNOVE</t>
        </is>
      </c>
      <c r="E14" s="6" t="inlineStr">
        <is>
          <t>XXJ019</t>
        </is>
      </c>
      <c r="F14" s="4" t="inlineStr">
        <is>
          <t>正常直营渠道</t>
        </is>
      </c>
      <c r="G14" s="5" t="inlineStr">
        <is>
          <t>按比例增长（低于核心直营）</t>
        </is>
      </c>
      <c r="H14" s="7" t="n"/>
      <c r="I14" s="7" t="n"/>
      <c r="J14" s="8">
        <f>IF(OR(H14="",H14=0),"待回填",I14/H14)</f>
        <v/>
      </c>
      <c r="K14" s="7" t="n"/>
      <c r="L14" s="7" t="n"/>
      <c r="M14" s="8">
        <f>IF(OR(K14="",K14=""),"待回填",L14/K14)</f>
        <v/>
      </c>
      <c r="N14" s="4" t="inlineStr">
        <is>
          <t>2026年渠道目标</t>
        </is>
      </c>
      <c r="O14" s="4" t="inlineStr">
        <is>
          <t>待回填</t>
        </is>
      </c>
    </row>
    <row r="15">
      <c r="A15" s="4" t="n">
        <v>11</v>
      </c>
      <c r="B15" s="4" t="inlineStr">
        <is>
          <t>零售组</t>
        </is>
      </c>
      <c r="C15" s="5" t="inlineStr">
        <is>
          <t>拼多多</t>
        </is>
      </c>
      <c r="D15" s="4" t="inlineStr">
        <is>
          <t>零售组拼多多UNOVE柔诺伊美容护发旗舰店</t>
        </is>
      </c>
      <c r="E15" s="6" t="inlineStr">
        <is>
          <t>13CHAN10048</t>
        </is>
      </c>
      <c r="F15" s="4" t="inlineStr">
        <is>
          <t>正常直营渠道</t>
        </is>
      </c>
      <c r="G15" s="5" t="inlineStr">
        <is>
          <t>按比例增长（低于核心直营）</t>
        </is>
      </c>
      <c r="H15" s="7" t="n"/>
      <c r="I15" s="7" t="n"/>
      <c r="J15" s="8">
        <f>IF(OR(H15="",H15=0),"待回填",I15/H15)</f>
        <v/>
      </c>
      <c r="K15" s="7" t="n"/>
      <c r="L15" s="7" t="n"/>
      <c r="M15" s="8">
        <f>IF(OR(K15="",K15=""),"待回填",L15/K15)</f>
        <v/>
      </c>
      <c r="N15" s="4" t="inlineStr">
        <is>
          <t>2026年渠道目标</t>
        </is>
      </c>
      <c r="O15" s="4" t="inlineStr">
        <is>
          <t>待回填</t>
        </is>
      </c>
    </row>
    <row r="16">
      <c r="A16" s="4" t="n">
        <v>12</v>
      </c>
      <c r="B16" s="4" t="inlineStr">
        <is>
          <t>面护部</t>
        </is>
      </c>
      <c r="C16" s="5" t="inlineStr">
        <is>
          <t>唯品会</t>
        </is>
      </c>
      <c r="D16" s="4" t="inlineStr">
        <is>
          <t>面护部唯品会大贸-UNOVE</t>
        </is>
      </c>
      <c r="E16" s="6" t="inlineStr">
        <is>
          <t>13CHAN10122</t>
        </is>
      </c>
      <c r="F16" s="4" t="inlineStr">
        <is>
          <t>观察期直营渠道</t>
        </is>
      </c>
      <c r="G16" s="5" t="inlineStr">
        <is>
          <t>豁免：观察期，不强制增长</t>
        </is>
      </c>
      <c r="H16" s="7" t="n"/>
      <c r="I16" s="7" t="n"/>
      <c r="J16" s="8">
        <f>IF(OR(H16="",H16=0),"待回填",I16/H16)</f>
        <v/>
      </c>
      <c r="K16" s="7" t="n"/>
      <c r="L16" s="7" t="n"/>
      <c r="M16" s="8">
        <f>IF(OR(K16="",K16=""),"待回填",L16/K16)</f>
        <v/>
      </c>
      <c r="N16" s="4" t="inlineStr">
        <is>
          <t>2026年渠道目标</t>
        </is>
      </c>
      <c r="O16" s="4" t="inlineStr">
        <is>
          <t>待回填</t>
        </is>
      </c>
    </row>
    <row r="17">
      <c r="A17" s="4" t="n">
        <v>13</v>
      </c>
      <c r="B17" s="4" t="inlineStr">
        <is>
          <t>外贸组</t>
        </is>
      </c>
      <c r="C17" s="5" t="inlineStr">
        <is>
          <t>B2B分销</t>
        </is>
      </c>
      <c r="D17" s="4" t="inlineStr">
        <is>
          <t>外贸组UNOVE分销</t>
        </is>
      </c>
      <c r="E17" s="6" t="inlineStr">
        <is>
          <t>XXJ003</t>
        </is>
      </c>
      <c r="F17" s="4" t="inlineStr">
        <is>
          <t>核心分销渠道</t>
        </is>
      </c>
      <c r="G17" s="5" t="inlineStr">
        <is>
          <t>按比例高增长</t>
        </is>
      </c>
      <c r="H17" s="7" t="n"/>
      <c r="I17" s="7" t="n"/>
      <c r="J17" s="8">
        <f>IF(OR(H17="",H17=0),"待回填",I17/H17)</f>
        <v/>
      </c>
      <c r="K17" s="7" t="n"/>
      <c r="L17" s="7" t="n"/>
      <c r="M17" s="8">
        <f>IF(OR(K17="",K17=""),"待回填",L17/K17)</f>
        <v/>
      </c>
      <c r="N17" s="4" t="inlineStr">
        <is>
          <t>2026年渠道目标</t>
        </is>
      </c>
      <c r="O17" s="4" t="inlineStr">
        <is>
          <t>待回填</t>
        </is>
      </c>
    </row>
    <row r="18">
      <c r="A18" s="4" t="n">
        <v>14</v>
      </c>
      <c r="B18" s="4" t="inlineStr">
        <is>
          <t>分销组</t>
        </is>
      </c>
      <c r="C18" s="5" t="inlineStr">
        <is>
          <t>B2B分销</t>
        </is>
      </c>
      <c r="D18" s="4" t="inlineStr">
        <is>
          <t>分销组UNOVE</t>
        </is>
      </c>
      <c r="E18" s="6" t="inlineStr">
        <is>
          <t>13CHAN10058</t>
        </is>
      </c>
      <c r="F18" s="4" t="inlineStr">
        <is>
          <t>核心分销渠道</t>
        </is>
      </c>
      <c r="G18" s="5" t="inlineStr">
        <is>
          <t>按比例高增长</t>
        </is>
      </c>
      <c r="H18" s="7" t="n"/>
      <c r="I18" s="7" t="n"/>
      <c r="J18" s="8">
        <f>IF(OR(H18="",H18=0),"待回填",I18/H18)</f>
        <v/>
      </c>
      <c r="K18" s="7" t="n"/>
      <c r="L18" s="7" t="n"/>
      <c r="M18" s="8">
        <f>IF(OR(K18="",K18=""),"待回填",L18/K18)</f>
        <v/>
      </c>
      <c r="N18" s="4" t="inlineStr">
        <is>
          <t>2026年渠道目标</t>
        </is>
      </c>
      <c r="O18" s="4" t="inlineStr">
        <is>
          <t>待回填</t>
        </is>
      </c>
    </row>
    <row r="19">
      <c r="A19" s="4" t="n">
        <v>15</v>
      </c>
      <c r="B19" s="4" t="inlineStr">
        <is>
          <t>线下组</t>
        </is>
      </c>
      <c r="C19" s="5" t="inlineStr">
        <is>
          <t>B2B分销</t>
        </is>
      </c>
      <c r="D19" s="4" t="inlineStr">
        <is>
          <t>线下组UNOVE</t>
        </is>
      </c>
      <c r="E19" s="6" t="inlineStr">
        <is>
          <t>13CHAN10084</t>
        </is>
      </c>
      <c r="F19" s="4" t="inlineStr">
        <is>
          <t>核心分销渠道</t>
        </is>
      </c>
      <c r="G19" s="5" t="inlineStr">
        <is>
          <t>按比例高增长</t>
        </is>
      </c>
      <c r="H19" s="7" t="n"/>
      <c r="I19" s="7" t="n"/>
      <c r="J19" s="8">
        <f>IF(OR(H19="",H19=0),"待回填",I19/H19)</f>
        <v/>
      </c>
      <c r="K19" s="7" t="n"/>
      <c r="L19" s="7" t="n"/>
      <c r="M19" s="8">
        <f>IF(OR(K19="",K19=""),"待回填",L19/K19)</f>
        <v/>
      </c>
      <c r="N19" s="4" t="inlineStr">
        <is>
          <t>2026年渠道目标</t>
        </is>
      </c>
      <c r="O19" s="4" t="inlineStr">
        <is>
          <t>待回填</t>
        </is>
      </c>
    </row>
    <row r="20">
      <c r="A20" s="4" t="n">
        <v>16</v>
      </c>
      <c r="B20" s="4" t="inlineStr">
        <is>
          <t>直供组</t>
        </is>
      </c>
      <c r="C20" s="5" t="inlineStr">
        <is>
          <t>B2B分销-回款</t>
        </is>
      </c>
      <c r="D20" s="4" t="inlineStr">
        <is>
          <t>直供组UNOVE分销-回款</t>
        </is>
      </c>
      <c r="E20" s="6" t="inlineStr">
        <is>
          <t>XXJ025</t>
        </is>
      </c>
      <c r="F20" s="4" t="inlineStr">
        <is>
          <t>正常分销渠道</t>
        </is>
      </c>
      <c r="G20" s="5" t="inlineStr">
        <is>
          <t>按比例增长（低于核心分销）</t>
        </is>
      </c>
      <c r="H20" s="7" t="n"/>
      <c r="I20" s="7" t="n"/>
      <c r="J20" s="8">
        <f>IF(OR(H20="",H20=0),"待回填",I20/H20)</f>
        <v/>
      </c>
      <c r="K20" s="7" t="n"/>
      <c r="L20" s="7" t="n"/>
      <c r="M20" s="8">
        <f>IF(OR(K20="",K20=""),"待回填",L20/K20)</f>
        <v/>
      </c>
      <c r="N20" s="4" t="inlineStr">
        <is>
          <t>2026年渠道目标</t>
        </is>
      </c>
      <c r="O20" s="4" t="inlineStr">
        <is>
          <t>待回填</t>
        </is>
      </c>
    </row>
    <row r="21">
      <c r="A21" s="4" t="n">
        <v>17</v>
      </c>
      <c r="B21" s="4" t="inlineStr">
        <is>
          <t>KA组</t>
        </is>
      </c>
      <c r="C21" s="5" t="inlineStr">
        <is>
          <t>B2B分销</t>
        </is>
      </c>
      <c r="D21" s="4" t="inlineStr">
        <is>
          <t>KA组UNOVE分销</t>
        </is>
      </c>
      <c r="E21" s="6" t="inlineStr">
        <is>
          <t>13CHAN50135</t>
        </is>
      </c>
      <c r="F21" s="4" t="inlineStr">
        <is>
          <t>正常分销渠道</t>
        </is>
      </c>
      <c r="G21" s="5" t="inlineStr">
        <is>
          <t>按比例增长（低于核心分销）</t>
        </is>
      </c>
      <c r="H21" s="7" t="n"/>
      <c r="I21" s="7" t="n"/>
      <c r="J21" s="8">
        <f>IF(OR(H21="",H21=0),"待回填",I21/H21)</f>
        <v/>
      </c>
      <c r="K21" s="7" t="n"/>
      <c r="L21" s="7" t="n"/>
      <c r="M21" s="8">
        <f>IF(OR(K21="",K21=""),"待回填",L21/K21)</f>
        <v/>
      </c>
      <c r="N21" s="4" t="inlineStr">
        <is>
          <t>2026年渠道目标</t>
        </is>
      </c>
      <c r="O21" s="4" t="inlineStr">
        <is>
          <t>待回填</t>
        </is>
      </c>
    </row>
    <row r="22">
      <c r="A22" s="9" t="inlineStr">
        <is>
          <t>合计</t>
        </is>
      </c>
      <c r="B22" s="9" t="n"/>
      <c r="C22" s="9" t="n"/>
      <c r="D22" s="9" t="n"/>
      <c r="E22" s="9" t="n"/>
      <c r="F22" s="9" t="n"/>
      <c r="G22" s="9" t="n"/>
      <c r="H22" s="9">
        <f>SUM(H5:H21)</f>
        <v/>
      </c>
      <c r="I22" s="9">
        <f>SUM(I5:I21)</f>
        <v/>
      </c>
      <c r="J22" s="10">
        <f>IF(OR(H22=0,H22=""),"待回填",I22/H22)</f>
        <v/>
      </c>
      <c r="K22" s="9">
        <f>SUM(K5:K21)</f>
        <v/>
      </c>
      <c r="L22" s="9">
        <f>SUM(L5:L21)</f>
        <v/>
      </c>
      <c r="M22" s="10">
        <f>IF(OR(K22=0,K22=""),"待回填",L22/K22)</f>
        <v/>
      </c>
      <c r="N22" s="9" t="n"/>
      <c r="O22" s="9" t="n"/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  <col width="20" customWidth="1" min="3" max="3"/>
  </cols>
  <sheetData>
    <row r="1">
      <c r="A1" s="11" t="inlineStr">
        <is>
          <t>项</t>
        </is>
      </c>
      <c r="B1" s="11" t="inlineStr">
        <is>
          <t>内容</t>
        </is>
      </c>
      <c r="C1" s="11" t="inlineStr">
        <is>
          <t>来源节点(uid)</t>
        </is>
      </c>
    </row>
    <row r="2">
      <c r="A2" s="12" t="inlineStr">
        <is>
          <t>SOP 步骤①</t>
        </is>
      </c>
      <c r="B2" s="12" t="inlineStr">
        <is>
          <t>每天，更新表格：销售日报表</t>
        </is>
      </c>
      <c r="C2" s="12" t="inlineStr">
        <is>
          <t>d82d2fc2</t>
        </is>
      </c>
    </row>
    <row r="3">
      <c r="A3" s="12" t="inlineStr">
        <is>
          <t>步骤①要点</t>
        </is>
      </c>
      <c r="B3" s="12" t="inlineStr">
        <is>
          <t>全渠道以日维度更新销售数据</t>
        </is>
      </c>
      <c r="C3" s="12" t="inlineStr">
        <is>
          <t>bff9f9f6</t>
        </is>
      </c>
    </row>
    <row r="4">
      <c r="A4" s="12" t="inlineStr">
        <is>
          <t>步骤①要点</t>
        </is>
      </c>
      <c r="B4" s="12" t="inlineStr">
        <is>
          <t>渠道定位应用「渠道定义和渠道定位」的内容</t>
        </is>
      </c>
      <c r="C4" s="12" t="inlineStr">
        <is>
          <t>e862e845</t>
        </is>
      </c>
    </row>
    <row r="5">
      <c r="A5" s="12" t="inlineStr">
        <is>
          <t>SOP 步骤②</t>
        </is>
      </c>
      <c r="B5" s="12" t="inlineStr">
        <is>
          <t>每个季度的第一天，更新表格：2026年渠道目标</t>
        </is>
      </c>
      <c r="C5" s="12" t="inlineStr">
        <is>
          <t>92932496</t>
        </is>
      </c>
    </row>
    <row r="6">
      <c r="A6" s="12" t="inlineStr">
        <is>
          <t>步骤②要点</t>
        </is>
      </c>
      <c r="B6" s="12" t="inlineStr">
        <is>
          <t>2026年渠道目标，应用于制定全渠道的 GMV 目标和实收目标</t>
        </is>
      </c>
      <c r="C6" s="12" t="inlineStr">
        <is>
          <t>c3256de3</t>
        </is>
      </c>
    </row>
    <row r="7">
      <c r="A7" s="12" t="inlineStr">
        <is>
          <t>步骤②要点</t>
        </is>
      </c>
      <c r="B7" s="12" t="inlineStr">
        <is>
          <t>根据 渠道定义 / B2B的GMV维度销售数据登记表 / 销售日报表，可得出渠道 GMV 销售进度和目标完成率</t>
        </is>
      </c>
      <c r="C7" s="12" t="inlineStr">
        <is>
          <t>6709b8f8</t>
        </is>
      </c>
    </row>
    <row r="8">
      <c r="A8" s="12" t="inlineStr">
        <is>
          <t>约束</t>
        </is>
      </c>
      <c r="B8" s="12" t="inlineStr">
        <is>
          <t>全年总目标确定后不可被修改，每个季度可重新复盘一次季度目标</t>
        </is>
      </c>
      <c r="C8" s="12" t="inlineStr">
        <is>
          <t>0403287f</t>
        </is>
      </c>
    </row>
    <row r="9">
      <c r="A9" s="12" t="inlineStr">
        <is>
          <t>统计维度</t>
        </is>
      </c>
      <c r="B9" s="12" t="inlineStr">
        <is>
          <t>销售日报表统计维度为 实收 / GMV 双维度（B2B 的 GMV 维度销售数据登记表覆盖：外贸组、分销组、线下组）</t>
        </is>
      </c>
      <c r="C9" s="12" t="inlineStr">
        <is>
          <t>cbd9f127 泛化项</t>
        </is>
      </c>
    </row>
    <row r="10">
      <c r="A10" s="12" t="inlineStr">
        <is>
          <t>识别口径</t>
        </is>
      </c>
      <c r="B10" s="12" t="inlineStr">
        <is>
          <t>1) 以渠道编码和渠道名称的唯一性识别 UNOVE 全渠道销售额；2) 部门=一级、渠道=二级、店铺=三级；3) 渠道名称或部门有修改，以渠道编码为唯一识别</t>
        </is>
      </c>
      <c r="C10" s="12" t="inlineStr">
        <is>
          <t>cbd9f127</t>
        </is>
      </c>
    </row>
    <row r="11">
      <c r="A11" s="12" t="inlineStr">
        <is>
          <t>定位逻辑(B2C)</t>
        </is>
      </c>
      <c r="B11" s="12" t="inlineStr">
        <is>
          <t>核心、正常和观察期渠道的分配直接与销售额、增长率和品牌要求挂钩</t>
        </is>
      </c>
      <c r="C11" s="12" t="inlineStr">
        <is>
          <t>0abc9d56</t>
        </is>
      </c>
    </row>
    <row r="12">
      <c r="A12" s="12" t="inlineStr">
        <is>
          <t>定位逻辑(B2B)</t>
        </is>
      </c>
      <c r="B12" s="12" t="inlineStr">
        <is>
          <t>核心和正常分销渠道的划分，直接与实收和品牌要求挂钩</t>
        </is>
      </c>
      <c r="C12" s="12" t="inlineStr">
        <is>
          <t>bc1142b1</t>
        </is>
      </c>
    </row>
    <row r="13">
      <c r="A13" s="12" t="inlineStr">
        <is>
          <t>增长要求</t>
        </is>
      </c>
      <c r="B13" s="12" t="inlineStr">
        <is>
          <t>渠道增长比例需根据品牌要求人工分配；核心直营/核心分销按比例高增长；正常直营/正常分销按比例增长（低于核心）</t>
        </is>
      </c>
      <c r="C13" s="12" t="inlineStr">
        <is>
          <t>69edd002</t>
        </is>
      </c>
    </row>
    <row r="14">
      <c r="A14" s="12" t="inlineStr">
        <is>
          <t>豁免口径</t>
        </is>
      </c>
      <c r="B14" s="12" t="inlineStr">
        <is>
          <t>观察期直营渠道豁免；小红书因渠道与品牌特点保持在售即可，不要求按比例增长</t>
        </is>
      </c>
      <c r="C14" s="12" t="inlineStr">
        <is>
          <t>2f803613 / f35f399e</t>
        </is>
      </c>
    </row>
    <row r="15">
      <c r="A15" s="12" t="inlineStr">
        <is>
          <t>计算公式</t>
        </is>
      </c>
      <c r="B15" s="12" t="inlineStr">
        <is>
          <t>渠道GMV销售进度 = 累计GMV(截至查询日)；目标完成率 = 累计GMV ÷ 该渠道年度GMV目标；实收同口径</t>
        </is>
      </c>
      <c r="C15" s="12" t="inlineStr">
        <is>
          <t>6709b8f8</t>
        </is>
      </c>
    </row>
    <row r="16">
      <c r="A16" s="12" t="inlineStr">
        <is>
          <t>下游用途</t>
        </is>
      </c>
      <c r="B16" s="12" t="inlineStr">
        <is>
          <t>本 SOP 输出供同级节点「D：制定全渠道GMV目标」使用：根据历史GMV数据/渠道定位/全渠道销售趋势，分别制定所有渠道的GMV目标</t>
        </is>
      </c>
      <c r="C16" s="12" t="inlineStr">
        <is>
          <t>2b880f65 / 228d628c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62" customWidth="1" min="3" max="3"/>
    <col width="44" customWidth="1" min="4" max="4"/>
    <col width="50" customWidth="1" min="5" max="5"/>
    <col width="26" customWidth="1" min="6" max="6"/>
  </cols>
  <sheetData>
    <row r="1">
      <c r="A1" s="11" t="inlineStr">
        <is>
          <t>数据源</t>
        </is>
      </c>
      <c r="B1" s="11" t="inlineStr">
        <is>
          <t>形式</t>
        </is>
      </c>
      <c r="C1" s="11" t="inlineStr">
        <is>
          <t>链接/位置</t>
        </is>
      </c>
      <c r="D1" s="11" t="inlineStr">
        <is>
          <t>实测状态</t>
        </is>
      </c>
      <c r="E1" s="11" t="inlineStr">
        <is>
          <t>所需动作</t>
        </is>
      </c>
      <c r="F1" s="11" t="inlineStr">
        <is>
          <t>责任人(建议)</t>
        </is>
      </c>
    </row>
    <row r="2">
      <c r="A2" s="12" t="inlineStr">
        <is>
          <t>销售日报表</t>
        </is>
      </c>
      <c r="B2" s="12" t="inlineStr">
        <is>
          <t>企业微信 smartsheet</t>
        </is>
      </c>
      <c r="C2" s="12" t="inlineStr">
        <is>
          <t>https://doc.weixin.qq.com/smartsheet/s3_AMwAoQZzAMECNeNTdk449SHW301Jo?tab=taDIvD</t>
        </is>
      </c>
      <c r="D2" s="12" t="inlineStr">
        <is>
          <t>登录墙：HTTP 200 但返回统一登录壳(约119KB)，无 13CHAN/UNOVE/GMV 任何数据</t>
        </is>
      </c>
      <c r="E2" s="12" t="inlineStr">
        <is>
          <t>在已登录企业微信的浏览器打开→导出全渠道日维度(GMV/实收)→粘贴或授权读取</t>
        </is>
      </c>
      <c r="F2" s="12" t="inlineStr">
        <is>
          <t>渠道运营(周中昱)+各渠道责任人</t>
        </is>
      </c>
    </row>
    <row r="3">
      <c r="A3" s="12" t="inlineStr">
        <is>
          <t>2026年渠道目标</t>
        </is>
      </c>
      <c r="B3" s="12" t="inlineStr">
        <is>
          <t>企业微信 sheet</t>
        </is>
      </c>
      <c r="C3" s="12" t="inlineStr">
        <is>
          <t>https://doc.weixin.qq.com/sheet/e3_AbUAJQbFAEECNv1FFKAuoTra7QEAT?tab=BB08J2</t>
        </is>
      </c>
      <c r="D3" s="12" t="inlineStr">
        <is>
          <t>登录墙：同上，无数据</t>
        </is>
      </c>
      <c r="E3" s="12" t="inlineStr">
        <is>
          <t>打开后导出各渠道年度 GMV/实收目标列（17 个渠道编码）</t>
        </is>
      </c>
      <c r="F3" s="12" t="inlineStr">
        <is>
          <t>品牌/财务(陈华俊)</t>
        </is>
      </c>
    </row>
    <row r="4">
      <c r="A4" s="12" t="inlineStr">
        <is>
          <t>B2B的GMV维度销售数据登记表</t>
        </is>
      </c>
      <c r="B4" s="12" t="inlineStr">
        <is>
          <t>导图内仅出现在「渠道定义和统计维度」泛化项，未挂外链</t>
        </is>
      </c>
      <c r="C4" s="12" t="inlineStr">
        <is>
          <t>节点 cbd9f127 泛化子树（外贸组/分销组/线下组）</t>
        </is>
      </c>
      <c r="D4" s="12" t="inlineStr">
        <is>
          <t>房间内 search_nodes 关键词命中 0 个独立节点，无数据表链接</t>
        </is>
      </c>
      <c r="E4" s="12" t="inlineStr">
        <is>
          <t>确认该登记表实际文档地址并补挂链接到节点 6709b8f8 下</t>
        </is>
      </c>
      <c r="F4" s="12" t="inlineStr">
        <is>
          <t>陈华俊</t>
        </is>
      </c>
    </row>
    <row r="5">
      <c r="A5" s="12" t="inlineStr">
        <is>
          <t>导图本体数值</t>
        </is>
      </c>
      <c r="B5" s="12" t="inlineStr">
        <is>
          <t>无</t>
        </is>
      </c>
      <c r="C5" s="12" t="inlineStr">
        <is>
          <t>D 节点子树 102 个节点</t>
        </is>
      </c>
      <c r="D5" s="12" t="inlineStr">
        <is>
          <t>全子树 0 个 GMV/实收数值，仅有流程与口径</t>
        </is>
      </c>
      <c r="E5" s="12" t="inlineStr">
        <is>
          <t>由上述三表回填后重跑本 SOP 出「有数版执行单」</t>
        </is>
      </c>
      <c r="F5" s="12" t="inlineStr">
        <is>
          <t>WorkBuddy + 数据责任人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3" t="inlineStr">
        <is>
          <t>项</t>
        </is>
      </c>
      <c r="B1" s="13" t="inlineStr">
        <is>
          <t>说明</t>
        </is>
      </c>
    </row>
    <row r="2">
      <c r="A2" s="12" t="inlineStr">
        <is>
          <t>执行 SOP</t>
        </is>
      </c>
      <c r="B2" s="12" t="inlineStr">
        <is>
          <t>D：历史GMV数据汇总分析（uid a591bb32-4095-4a6d-aa41-277853a89a1f）</t>
        </is>
      </c>
    </row>
    <row r="3">
      <c r="A3" s="12" t="inlineStr">
        <is>
          <t>所属路径</t>
        </is>
      </c>
      <c r="B3" s="12" t="inlineStr">
        <is>
          <t>C：UN项目利润分 → P：品牌目标 → P：制定GMV目标 → D：历史GMV数据汇总分析</t>
        </is>
      </c>
    </row>
    <row r="4">
      <c r="A4" s="12" t="inlineStr">
        <is>
          <t>房间</t>
        </is>
      </c>
      <c r="B4" s="12" t="inlineStr">
        <is>
          <t>room-xgoibqb8「UN项目工程」</t>
        </is>
      </c>
    </row>
    <row r="5">
      <c r="A5" s="12" t="inlineStr">
        <is>
          <t>执行时间</t>
        </is>
      </c>
      <c r="B5" s="12" t="inlineStr">
        <is>
          <t>2026-09-14 17:00</t>
        </is>
      </c>
    </row>
    <row r="6">
      <c r="A6" s="12" t="inlineStr">
        <is>
          <t>执行结论</t>
        </is>
      </c>
      <c r="B6" s="12" t="inlineStr">
        <is>
          <t>流程与渠道口径 100% 可取（导图内为真实数据）；三张数据表数值 0 条可取（企微登录墙/未挂链）→ 交付「口径已确认 + 填报模板待回填」版本</t>
        </is>
      </c>
    </row>
    <row r="7">
      <c r="A7" s="12" t="inlineStr">
        <is>
          <t>未伪造声明</t>
        </is>
      </c>
      <c r="B7" s="12" t="inlineStr">
        <is>
          <t>本表数值列全部留空，未填入任何推测或示例数字；公式列已内置，回填 目标/累计 列后自动起算完成率</t>
        </is>
      </c>
    </row>
    <row r="8">
      <c r="A8" s="12" t="inlineStr">
        <is>
          <t>数据来源</t>
        </is>
      </c>
      <c r="B8" s="12" t="inlineStr">
        <is>
          <t>mind-map MCP query_nodes / search_nodes 实测：D 子树 102 节点全量拉取，渠道编码 17 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2026-09-14T09:01:41Z</dcterms:created>
  <dcterms:modified xmlns:dcterms="http://purl.org/dc/terms/" xmlns:xsi="http://www.w3.org/2001/XMLSchema-instance" xsi:type="dcterms:W3CDTF">2026-09-14T09:01:41Z</dcterms:modified>
</cp:coreProperties>
</file>