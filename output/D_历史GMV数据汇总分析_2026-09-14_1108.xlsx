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数据缺口" sheetId="1" state="visible" r:id="rId1"/>
    <sheet xmlns:r="http://schemas.openxmlformats.org/officeDocument/2006/relationships" name="渠道口径登记表" sheetId="2" state="visible" r:id="rId2"/>
    <sheet xmlns:r="http://schemas.openxmlformats.org/officeDocument/2006/relationships" name="销售日报表取数模板" sheetId="3" state="visible" r:id="rId3"/>
    <sheet xmlns:r="http://schemas.openxmlformats.org/officeDocument/2006/relationships" name="2026年渠道目标取数模板" sheetId="4" state="visible" r:id="rId4"/>
    <sheet xmlns:r="http://schemas.openxmlformats.org/officeDocument/2006/relationships" name="GMV汇总分析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D3A8F"/>
      <sz val="14"/>
    </font>
    <font>
      <b val="1"/>
    </font>
    <font>
      <b val="1"/>
      <color rgb="008A5A0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7E8"/>
      </patternFill>
    </fill>
    <fill>
      <patternFill patternType="solid">
        <fgColor rgb="001D3A8F"/>
      </patternFill>
    </fill>
    <fill>
      <patternFill patternType="solid">
        <fgColor rgb="00EEF1F7"/>
      </patternFill>
    </fill>
  </fills>
  <borders count="2">
    <border>
      <left/>
      <right/>
      <top/>
      <bottom/>
      <diagonal/>
    </border>
    <border>
      <left style="thin">
        <color rgb="00D6DCE6"/>
      </left>
      <right style="thin">
        <color rgb="00D6DCE6"/>
      </right>
      <top style="thin">
        <color rgb="00D6DCE6"/>
      </top>
      <bottom style="thin">
        <color rgb="00D6DC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D：历史GMV数据汇总分析 — 交付说明</t>
        </is>
      </c>
      <c r="B1" s="2" t="n"/>
    </row>
    <row r="2">
      <c r="A2" s="3" t="inlineStr">
        <is>
          <t>SOP 节点</t>
        </is>
      </c>
      <c r="B2" s="2" t="inlineStr">
        <is>
          <t>D：历史GMV数据汇总分析</t>
        </is>
      </c>
    </row>
    <row r="3">
      <c r="A3" s="3" t="inlineStr">
        <is>
          <t>节点 uid</t>
        </is>
      </c>
      <c r="B3" s="2" t="inlineStr">
        <is>
          <t>a591bb32-4095-4a6d-aa41-277853a89a1f</t>
        </is>
      </c>
    </row>
    <row r="4">
      <c r="A4" s="3" t="inlineStr">
        <is>
          <t>归属路径</t>
        </is>
      </c>
      <c r="B4" s="2" t="inlineStr">
        <is>
          <t>C：UN项目利润分 → P：品牌目标 → P：制定GMV目标 → D：历史GMV数据汇总分析</t>
        </is>
      </c>
    </row>
    <row r="5">
      <c r="A5" s="3" t="inlineStr">
        <is>
          <t>房间</t>
        </is>
      </c>
      <c r="B5" s="2" t="inlineStr">
        <is>
          <t>room-xgoibqb8（UN项目工程）· owner 陈华俊Alex</t>
        </is>
      </c>
    </row>
    <row r="6">
      <c r="A6" s="3" t="inlineStr">
        <is>
          <t>生成时间</t>
        </is>
      </c>
      <c r="B6" s="2" t="inlineStr">
        <is>
          <t>2026-09-14 11:08</t>
        </is>
      </c>
    </row>
    <row r="7">
      <c r="A7" s="3" t="inlineStr">
        <is>
          <t>执行状态</t>
        </is>
      </c>
      <c r="B7" s="2" t="inlineStr">
        <is>
          <t>未完成 — 渠道口径/流程可复用，真实 GMV 数值缺失（数据源为登录墙）</t>
        </is>
      </c>
    </row>
    <row r="8">
      <c r="A8" s="2" t="inlineStr"/>
      <c r="B8" s="2" t="inlineStr"/>
    </row>
    <row r="9">
      <c r="A9" s="4" t="inlineStr">
        <is>
          <t>【可引用真实口径 · 来自导图】</t>
        </is>
      </c>
      <c r="B9" s="5" t="n"/>
    </row>
    <row r="10">
      <c r="A10" s="3" t="inlineStr">
        <is>
          <t>渠道分组（一级单位）</t>
        </is>
      </c>
      <c r="B10" s="2" t="inlineStr">
        <is>
          <t>10 个分支节点，去重 9 个部门（直供组出现两次）</t>
        </is>
      </c>
    </row>
    <row r="11">
      <c r="A11" s="3" t="inlineStr">
        <is>
          <t>渠道编码（三级店铺）</t>
        </is>
      </c>
      <c r="B11" s="2" t="inlineStr">
        <is>
          <t>17 个</t>
        </is>
      </c>
    </row>
    <row r="12">
      <c r="A12" s="3" t="inlineStr">
        <is>
          <t>渠道定位档位</t>
        </is>
      </c>
      <c r="B12" s="2" t="inlineStr">
        <is>
          <t>6 档：核心直营 / 正常直营 / 观察期直营 / 核心分销 / 正常分销（+小红书豁免）</t>
        </is>
      </c>
    </row>
    <row r="13">
      <c r="A13" s="3" t="inlineStr">
        <is>
          <t>销售日报表数据源</t>
        </is>
      </c>
      <c r="B13" s="2" t="inlineStr">
        <is>
          <t>企业微信 smartsheet（导图已挂外链）</t>
        </is>
      </c>
    </row>
    <row r="14">
      <c r="A14" s="3" t="inlineStr">
        <is>
          <t>2026年渠道目标数据源</t>
        </is>
      </c>
      <c r="B14" s="2" t="inlineStr">
        <is>
          <t>企业微信 sheet（导图已挂外链）</t>
        </is>
      </c>
    </row>
    <row r="15">
      <c r="A15" s="2" t="inlineStr"/>
      <c r="B15" s="2" t="inlineStr"/>
    </row>
    <row r="16">
      <c r="A16" s="4" t="inlineStr">
        <is>
          <t>【关键缺口 · 需人工取数/授权】</t>
        </is>
      </c>
      <c r="B16" s="5" t="n"/>
    </row>
    <row r="17">
      <c r="A17" s="3" t="inlineStr">
        <is>
          <t>缺口1</t>
        </is>
      </c>
      <c r="B17" s="2" t="inlineStr">
        <is>
          <t>两个企业微信数据表均为登录墙：HTTP 200 但正文 0 字节，匿名/无授权无法读取任何 GMV 数值。</t>
        </is>
      </c>
    </row>
    <row r="18">
      <c r="A18" s="3" t="inlineStr">
        <is>
          <t>缺口2</t>
        </is>
      </c>
      <c r="B18" s="2" t="inlineStr">
        <is>
          <t>导图内不存在任何历史 GMV 数值、目标值或完成率数据，仅流程与口径。</t>
        </is>
      </c>
    </row>
    <row r="19">
      <c r="A19" s="3" t="inlineStr">
        <is>
          <t>缺口3</t>
        </is>
      </c>
      <c r="B19" s="2" t="inlineStr">
        <is>
          <t>「B2B的GMV维度销售数据登记表」在导图中未挂外链，无法定位。</t>
        </is>
      </c>
    </row>
    <row r="20">
      <c r="A20" s="3" t="inlineStr">
        <is>
          <t>缺口4</t>
        </is>
      </c>
      <c r="B20" s="2" t="inlineStr">
        <is>
          <t>渠道增长比例需按品牌要求人工分配，比例值未在导图内给出。</t>
        </is>
      </c>
    </row>
    <row r="21">
      <c r="A21" s="3" t="inlineStr">
        <is>
          <t>取数方式</t>
        </is>
      </c>
      <c r="B21" s="2" t="inlineStr">
        <is>
          <t>请在已登录企业微信的浏览器打开两张表，导出为 xlsx/csv 后回贴；或在导图节点补充数值。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4" customWidth="1" min="4" max="4"/>
    <col width="15" customWidth="1" min="5" max="5"/>
    <col width="10" customWidth="1" min="6" max="6"/>
    <col width="12" customWidth="1" min="7" max="7"/>
    <col width="22" customWidth="1" min="8" max="8"/>
    <col width="10" customWidth="1" min="9" max="9"/>
  </cols>
  <sheetData>
    <row r="1">
      <c r="A1" s="6" t="inlineStr">
        <is>
          <t>序号</t>
        </is>
      </c>
      <c r="B1" s="6" t="inlineStr">
        <is>
          <t>一级部门</t>
        </is>
      </c>
      <c r="C1" s="6" t="inlineStr">
        <is>
          <t>二级渠道</t>
        </is>
      </c>
      <c r="D1" s="6" t="inlineStr">
        <is>
          <t>三级店铺</t>
        </is>
      </c>
      <c r="E1" s="6" t="inlineStr">
        <is>
          <t>渠道编码</t>
        </is>
      </c>
      <c r="F1" s="6" t="inlineStr">
        <is>
          <t>渠道类型</t>
        </is>
      </c>
      <c r="G1" s="6" t="inlineStr">
        <is>
          <t>定位档位</t>
        </is>
      </c>
      <c r="H1" s="6" t="inlineStr">
        <is>
          <t>增长要求</t>
        </is>
      </c>
      <c r="I1" s="6" t="inlineStr">
        <is>
          <t>是否豁免</t>
        </is>
      </c>
    </row>
    <row r="2">
      <c r="A2" s="7" t="n">
        <v>1</v>
      </c>
      <c r="B2" s="7" t="inlineStr">
        <is>
          <t>个护部</t>
        </is>
      </c>
      <c r="C2" s="7" t="inlineStr">
        <is>
          <t>天猫</t>
        </is>
      </c>
      <c r="D2" s="2" t="inlineStr">
        <is>
          <t>个护部天猫UNOVE柔诺伊官方旗舰店</t>
        </is>
      </c>
      <c r="E2" s="7" t="inlineStr">
        <is>
          <t>13CHAN10030</t>
        </is>
      </c>
      <c r="F2" s="7" t="inlineStr">
        <is>
          <t>B2C</t>
        </is>
      </c>
      <c r="G2" s="7" t="inlineStr">
        <is>
          <t>核心直营</t>
        </is>
      </c>
      <c r="H2" s="2" t="inlineStr">
        <is>
          <t>高增长</t>
        </is>
      </c>
      <c r="I2" s="7" t="inlineStr">
        <is>
          <t>否</t>
        </is>
      </c>
    </row>
    <row r="3">
      <c r="A3" s="7" t="n">
        <v>2</v>
      </c>
      <c r="B3" s="7" t="inlineStr">
        <is>
          <t>个护部</t>
        </is>
      </c>
      <c r="C3" s="7" t="inlineStr">
        <is>
          <t>天猫国际</t>
        </is>
      </c>
      <c r="D3" s="2" t="inlineStr">
        <is>
          <t>个护部天猫UNOVE海外旗舰店</t>
        </is>
      </c>
      <c r="E3" s="7" t="inlineStr">
        <is>
          <t>13CHAN10039</t>
        </is>
      </c>
      <c r="F3" s="7" t="inlineStr">
        <is>
          <t>B2C</t>
        </is>
      </c>
      <c r="G3" s="7" t="inlineStr">
        <is>
          <t>核心直营</t>
        </is>
      </c>
      <c r="H3" s="2" t="inlineStr">
        <is>
          <t>高增长</t>
        </is>
      </c>
      <c r="I3" s="7" t="inlineStr">
        <is>
          <t>否</t>
        </is>
      </c>
    </row>
    <row r="4">
      <c r="A4" s="7" t="n">
        <v>3</v>
      </c>
      <c r="B4" s="7" t="inlineStr">
        <is>
          <t>直播组</t>
        </is>
      </c>
      <c r="C4" s="7" t="inlineStr">
        <is>
          <t>抖音</t>
        </is>
      </c>
      <c r="D4" s="2" t="inlineStr">
        <is>
          <t>直播组抖音UNOVE柔诺伊官方旗舰店</t>
        </is>
      </c>
      <c r="E4" s="7" t="inlineStr">
        <is>
          <t>13CHAN10132</t>
        </is>
      </c>
      <c r="F4" s="7" t="inlineStr">
        <is>
          <t>B2C</t>
        </is>
      </c>
      <c r="G4" s="7" t="inlineStr">
        <is>
          <t>核心直营</t>
        </is>
      </c>
      <c r="H4" s="2" t="inlineStr">
        <is>
          <t>高增长</t>
        </is>
      </c>
      <c r="I4" s="7" t="inlineStr">
        <is>
          <t>否</t>
        </is>
      </c>
    </row>
    <row r="5">
      <c r="A5" s="7" t="n">
        <v>4</v>
      </c>
      <c r="B5" s="7" t="inlineStr">
        <is>
          <t>直播组</t>
        </is>
      </c>
      <c r="C5" s="7" t="inlineStr">
        <is>
          <t>抖音</t>
        </is>
      </c>
      <c r="D5" s="2" t="inlineStr">
        <is>
          <t>直播组抖音UNOVE柔诺伊个人护理旗舰店</t>
        </is>
      </c>
      <c r="E5" s="7" t="inlineStr">
        <is>
          <t>13CHAN10029</t>
        </is>
      </c>
      <c r="F5" s="7" t="inlineStr">
        <is>
          <t>B2C</t>
        </is>
      </c>
      <c r="G5" s="7" t="inlineStr">
        <is>
          <t>核心直营</t>
        </is>
      </c>
      <c r="H5" s="2" t="inlineStr">
        <is>
          <t>高增长</t>
        </is>
      </c>
      <c r="I5" s="7" t="inlineStr">
        <is>
          <t>否</t>
        </is>
      </c>
    </row>
    <row r="6">
      <c r="A6" s="7" t="n">
        <v>5</v>
      </c>
      <c r="B6" s="7" t="inlineStr">
        <is>
          <t>直播组</t>
        </is>
      </c>
      <c r="C6" s="7" t="inlineStr">
        <is>
          <t>快手</t>
        </is>
      </c>
      <c r="D6" s="2" t="inlineStr">
        <is>
          <t>直播组快手UNOVE柔诺伊旗舰店</t>
        </is>
      </c>
      <c r="E6" s="7" t="inlineStr">
        <is>
          <t>13CHAN10033</t>
        </is>
      </c>
      <c r="F6" s="7" t="inlineStr">
        <is>
          <t>B2C</t>
        </is>
      </c>
      <c r="G6" s="7" t="inlineStr">
        <is>
          <t>核心直营</t>
        </is>
      </c>
      <c r="H6" s="2" t="inlineStr">
        <is>
          <t>高增长</t>
        </is>
      </c>
      <c r="I6" s="7" t="inlineStr">
        <is>
          <t>否</t>
        </is>
      </c>
    </row>
    <row r="7">
      <c r="A7" s="7" t="n">
        <v>6</v>
      </c>
      <c r="B7" s="7" t="inlineStr">
        <is>
          <t>直播组</t>
        </is>
      </c>
      <c r="C7" s="7" t="inlineStr">
        <is>
          <t>小红书</t>
        </is>
      </c>
      <c r="D7" s="2" t="inlineStr">
        <is>
          <t>直播组小红书UNOVE柔诺伊旗舰店</t>
        </is>
      </c>
      <c r="E7" s="7" t="inlineStr">
        <is>
          <t>13CHAN10041</t>
        </is>
      </c>
      <c r="F7" s="7" t="inlineStr">
        <is>
          <t>B2C</t>
        </is>
      </c>
      <c r="G7" s="7" t="inlineStr">
        <is>
          <t>核心直营</t>
        </is>
      </c>
      <c r="H7" s="2" t="inlineStr">
        <is>
          <t>豁免（保持在售即可）</t>
        </is>
      </c>
      <c r="I7" s="7" t="inlineStr">
        <is>
          <t>是</t>
        </is>
      </c>
    </row>
    <row r="8">
      <c r="A8" s="7" t="n">
        <v>7</v>
      </c>
      <c r="B8" s="7" t="inlineStr">
        <is>
          <t>直供组</t>
        </is>
      </c>
      <c r="C8" s="7" t="inlineStr">
        <is>
          <t>天猫超市</t>
        </is>
      </c>
      <c r="D8" s="2" t="inlineStr">
        <is>
          <t>直供组天猫超市供货-UNOVE</t>
        </is>
      </c>
      <c r="E8" s="7" t="inlineStr">
        <is>
          <t>13CHAN40025-04</t>
        </is>
      </c>
      <c r="F8" s="7" t="inlineStr">
        <is>
          <t>B2C</t>
        </is>
      </c>
      <c r="G8" s="7" t="inlineStr">
        <is>
          <t>正常直营</t>
        </is>
      </c>
      <c r="H8" s="2" t="inlineStr">
        <is>
          <t>按比例增长（低于核心）</t>
        </is>
      </c>
      <c r="I8" s="7" t="inlineStr">
        <is>
          <t>否</t>
        </is>
      </c>
    </row>
    <row r="9">
      <c r="A9" s="7" t="n">
        <v>8</v>
      </c>
      <c r="B9" s="7" t="inlineStr">
        <is>
          <t>直供组</t>
        </is>
      </c>
      <c r="C9" s="7" t="inlineStr">
        <is>
          <t>京东</t>
        </is>
      </c>
      <c r="D9" s="2" t="inlineStr">
        <is>
          <t>直供组商务UNOVE京东自营旗舰店</t>
        </is>
      </c>
      <c r="E9" s="7" t="inlineStr">
        <is>
          <t>13CHAN10100</t>
        </is>
      </c>
      <c r="F9" s="7" t="inlineStr">
        <is>
          <t>B2C</t>
        </is>
      </c>
      <c r="G9" s="7" t="inlineStr">
        <is>
          <t>正常直营</t>
        </is>
      </c>
      <c r="H9" s="2" t="inlineStr">
        <is>
          <t>按比例增长（低于核心）</t>
        </is>
      </c>
      <c r="I9" s="7" t="inlineStr">
        <is>
          <t>否</t>
        </is>
      </c>
    </row>
    <row r="10">
      <c r="A10" s="7" t="n">
        <v>9</v>
      </c>
      <c r="B10" s="7" t="inlineStr">
        <is>
          <t>直供组</t>
        </is>
      </c>
      <c r="C10" s="7" t="inlineStr">
        <is>
          <t>京东</t>
        </is>
      </c>
      <c r="D10" s="2" t="inlineStr">
        <is>
          <t>赛燃UNOVE海外京东自营旗舰店</t>
        </is>
      </c>
      <c r="E10" s="7" t="inlineStr">
        <is>
          <t>SAIRAN0021</t>
        </is>
      </c>
      <c r="F10" s="7" t="inlineStr">
        <is>
          <t>B2C</t>
        </is>
      </c>
      <c r="G10" s="7" t="inlineStr">
        <is>
          <t>正常直营</t>
        </is>
      </c>
      <c r="H10" s="2" t="inlineStr">
        <is>
          <t>按比例增长（低于核心）</t>
        </is>
      </c>
      <c r="I10" s="7" t="inlineStr">
        <is>
          <t>否</t>
        </is>
      </c>
    </row>
    <row r="11">
      <c r="A11" s="7" t="n">
        <v>10</v>
      </c>
      <c r="B11" s="7" t="inlineStr">
        <is>
          <t>直供组</t>
        </is>
      </c>
      <c r="C11" s="7" t="inlineStr">
        <is>
          <t>得物</t>
        </is>
      </c>
      <c r="D11" s="2" t="inlineStr">
        <is>
          <t>得物大贸UNOVE</t>
        </is>
      </c>
      <c r="E11" s="7" t="inlineStr">
        <is>
          <t>XXJ019</t>
        </is>
      </c>
      <c r="F11" s="7" t="inlineStr">
        <is>
          <t>B2C</t>
        </is>
      </c>
      <c r="G11" s="7" t="inlineStr">
        <is>
          <t>正常直营</t>
        </is>
      </c>
      <c r="H11" s="2" t="inlineStr">
        <is>
          <t>按比例增长（低于核心）</t>
        </is>
      </c>
      <c r="I11" s="7" t="inlineStr">
        <is>
          <t>否</t>
        </is>
      </c>
    </row>
    <row r="12">
      <c r="A12" s="7" t="n">
        <v>11</v>
      </c>
      <c r="B12" s="7" t="inlineStr">
        <is>
          <t>零售组</t>
        </is>
      </c>
      <c r="C12" s="7" t="inlineStr">
        <is>
          <t>拼多多</t>
        </is>
      </c>
      <c r="D12" s="2" t="inlineStr">
        <is>
          <t>零售组拼多多UNOVE柔诺伊美容护发旗舰店</t>
        </is>
      </c>
      <c r="E12" s="7" t="inlineStr">
        <is>
          <t>13CHAN10048</t>
        </is>
      </c>
      <c r="F12" s="7" t="inlineStr">
        <is>
          <t>B2C</t>
        </is>
      </c>
      <c r="G12" s="7" t="inlineStr">
        <is>
          <t>正常直营</t>
        </is>
      </c>
      <c r="H12" s="2" t="inlineStr">
        <is>
          <t>按比例增长（低于核心）</t>
        </is>
      </c>
      <c r="I12" s="7" t="inlineStr">
        <is>
          <t>否</t>
        </is>
      </c>
    </row>
    <row r="13">
      <c r="A13" s="7" t="n">
        <v>12</v>
      </c>
      <c r="B13" s="7" t="inlineStr">
        <is>
          <t>面护部</t>
        </is>
      </c>
      <c r="C13" s="7" t="inlineStr">
        <is>
          <t>唯品会</t>
        </is>
      </c>
      <c r="D13" s="2" t="inlineStr">
        <is>
          <t>面护部唯品会大贸-UNOVE</t>
        </is>
      </c>
      <c r="E13" s="7" t="inlineStr">
        <is>
          <t>13CHAN10122</t>
        </is>
      </c>
      <c r="F13" s="7" t="inlineStr">
        <is>
          <t>B2C</t>
        </is>
      </c>
      <c r="G13" s="7" t="inlineStr">
        <is>
          <t>观察期直营</t>
        </is>
      </c>
      <c r="H13" s="2" t="inlineStr">
        <is>
          <t>豁免（保持在售即可）</t>
        </is>
      </c>
      <c r="I13" s="7" t="inlineStr">
        <is>
          <t>是</t>
        </is>
      </c>
    </row>
    <row r="14">
      <c r="A14" s="7" t="n">
        <v>13</v>
      </c>
      <c r="B14" s="7" t="inlineStr">
        <is>
          <t>外贸组</t>
        </is>
      </c>
      <c r="C14" s="7" t="inlineStr">
        <is>
          <t>—</t>
        </is>
      </c>
      <c r="D14" s="2" t="inlineStr">
        <is>
          <t>外贸组UNOVE分销</t>
        </is>
      </c>
      <c r="E14" s="7" t="inlineStr">
        <is>
          <t>XXJ003</t>
        </is>
      </c>
      <c r="F14" s="7" t="inlineStr">
        <is>
          <t>B2B</t>
        </is>
      </c>
      <c r="G14" s="7" t="inlineStr">
        <is>
          <t>核心分销</t>
        </is>
      </c>
      <c r="H14" s="2" t="inlineStr">
        <is>
          <t>高增长</t>
        </is>
      </c>
      <c r="I14" s="7" t="inlineStr">
        <is>
          <t>否</t>
        </is>
      </c>
    </row>
    <row r="15">
      <c r="A15" s="7" t="n">
        <v>14</v>
      </c>
      <c r="B15" s="7" t="inlineStr">
        <is>
          <t>分销组</t>
        </is>
      </c>
      <c r="C15" s="7" t="inlineStr">
        <is>
          <t>—</t>
        </is>
      </c>
      <c r="D15" s="2" t="inlineStr">
        <is>
          <t>分销组UNOVE</t>
        </is>
      </c>
      <c r="E15" s="7" t="inlineStr">
        <is>
          <t>13CHAN10058</t>
        </is>
      </c>
      <c r="F15" s="7" t="inlineStr">
        <is>
          <t>B2B</t>
        </is>
      </c>
      <c r="G15" s="7" t="inlineStr">
        <is>
          <t>核心分销</t>
        </is>
      </c>
      <c r="H15" s="2" t="inlineStr">
        <is>
          <t>高增长</t>
        </is>
      </c>
      <c r="I15" s="7" t="inlineStr">
        <is>
          <t>否</t>
        </is>
      </c>
    </row>
    <row r="16">
      <c r="A16" s="7" t="n">
        <v>15</v>
      </c>
      <c r="B16" s="7" t="inlineStr">
        <is>
          <t>线下组</t>
        </is>
      </c>
      <c r="C16" s="7" t="inlineStr">
        <is>
          <t>—</t>
        </is>
      </c>
      <c r="D16" s="2" t="inlineStr">
        <is>
          <t>线下组UNOVE</t>
        </is>
      </c>
      <c r="E16" s="7" t="inlineStr">
        <is>
          <t>13CHAN10084</t>
        </is>
      </c>
      <c r="F16" s="7" t="inlineStr">
        <is>
          <t>B2B</t>
        </is>
      </c>
      <c r="G16" s="7" t="inlineStr">
        <is>
          <t>核心分销</t>
        </is>
      </c>
      <c r="H16" s="2" t="inlineStr">
        <is>
          <t>高增长</t>
        </is>
      </c>
      <c r="I16" s="7" t="inlineStr">
        <is>
          <t>否</t>
        </is>
      </c>
    </row>
    <row r="17">
      <c r="A17" s="7" t="n">
        <v>16</v>
      </c>
      <c r="B17" s="7" t="inlineStr">
        <is>
          <t>直供组</t>
        </is>
      </c>
      <c r="C17" s="7" t="inlineStr">
        <is>
          <t>—</t>
        </is>
      </c>
      <c r="D17" s="2" t="inlineStr">
        <is>
          <t>直供组UNOVE分销-回款</t>
        </is>
      </c>
      <c r="E17" s="7" t="inlineStr">
        <is>
          <t>XXJ025</t>
        </is>
      </c>
      <c r="F17" s="7" t="inlineStr">
        <is>
          <t>B2B</t>
        </is>
      </c>
      <c r="G17" s="7" t="inlineStr">
        <is>
          <t>正常分销</t>
        </is>
      </c>
      <c r="H17" s="2" t="inlineStr">
        <is>
          <t>按比例增长</t>
        </is>
      </c>
      <c r="I17" s="7" t="inlineStr">
        <is>
          <t>否</t>
        </is>
      </c>
    </row>
    <row r="18">
      <c r="A18" s="7" t="n">
        <v>17</v>
      </c>
      <c r="B18" s="7" t="inlineStr">
        <is>
          <t>KA组</t>
        </is>
      </c>
      <c r="C18" s="7" t="inlineStr">
        <is>
          <t>—</t>
        </is>
      </c>
      <c r="D18" s="2" t="inlineStr">
        <is>
          <t>KA组UNOVE分销</t>
        </is>
      </c>
      <c r="E18" s="7" t="inlineStr">
        <is>
          <t>13CHAN50135</t>
        </is>
      </c>
      <c r="F18" s="7" t="inlineStr">
        <is>
          <t>B2B</t>
        </is>
      </c>
      <c r="G18" s="7" t="inlineStr">
        <is>
          <t>正常分销</t>
        </is>
      </c>
      <c r="H18" s="2" t="inlineStr">
        <is>
          <t>按比例增长</t>
        </is>
      </c>
      <c r="I18" s="7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4" customWidth="1" min="4" max="4"/>
    <col width="15" customWidth="1" min="5" max="5"/>
    <col width="12" customWidth="1" min="6" max="6"/>
    <col width="12" customWidth="1" min="7" max="7"/>
    <col width="9" customWidth="1" min="8" max="8"/>
    <col width="18" customWidth="1" min="9" max="9"/>
    <col width="10" customWidth="1" min="10" max="10"/>
    <col width="22" customWidth="1" min="11" max="11"/>
  </cols>
  <sheetData>
    <row r="1">
      <c r="A1" s="6" t="inlineStr">
        <is>
          <t>统计日期</t>
        </is>
      </c>
      <c r="B1" s="6" t="inlineStr">
        <is>
          <t>一级部门</t>
        </is>
      </c>
      <c r="C1" s="6" t="inlineStr">
        <is>
          <t>二级渠道</t>
        </is>
      </c>
      <c r="D1" s="6" t="inlineStr">
        <is>
          <t>三级店铺</t>
        </is>
      </c>
      <c r="E1" s="6" t="inlineStr">
        <is>
          <t>渠道编码</t>
        </is>
      </c>
      <c r="F1" s="6" t="inlineStr">
        <is>
          <t>GMV(元)</t>
        </is>
      </c>
      <c r="G1" s="6" t="inlineStr">
        <is>
          <t>实收(元)</t>
        </is>
      </c>
      <c r="H1" s="6" t="inlineStr">
        <is>
          <t>订单量</t>
        </is>
      </c>
      <c r="I1" s="6" t="inlineStr">
        <is>
          <t>数据来源</t>
        </is>
      </c>
      <c r="J1" s="6" t="inlineStr">
        <is>
          <t>更新人</t>
        </is>
      </c>
      <c r="K1" s="6" t="inlineStr">
        <is>
          <t>备注</t>
        </is>
      </c>
    </row>
    <row r="2">
      <c r="A2" s="8" t="inlineStr">
        <is>
          <t>2026-09-14</t>
        </is>
      </c>
      <c r="B2" s="8" t="inlineStr">
        <is>
          <t>个护部</t>
        </is>
      </c>
      <c r="C2" s="8" t="inlineStr">
        <is>
          <t>天猫</t>
        </is>
      </c>
      <c r="D2" s="8" t="inlineStr">
        <is>
          <t>个护部天猫UNOVE柔诺伊官方旗舰店</t>
        </is>
      </c>
      <c r="E2" s="8" t="inlineStr">
        <is>
          <t>13CHAN10030</t>
        </is>
      </c>
      <c r="F2" s="8" t="inlineStr"/>
      <c r="G2" s="8" t="inlineStr"/>
      <c r="H2" s="8" t="inlineStr"/>
      <c r="I2" s="8" t="inlineStr">
        <is>
          <t>企业微信-销售日报表</t>
        </is>
      </c>
      <c r="J2" s="8" t="inlineStr"/>
      <c r="K2" s="8" t="inlineStr">
        <is>
          <t>【示例行：填数后删除】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0" customWidth="1" min="4" max="4"/>
    <col width="15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5" customWidth="1" min="11" max="11"/>
    <col width="14" customWidth="1" min="12" max="12"/>
    <col width="12" customWidth="1" min="13" max="13"/>
  </cols>
  <sheetData>
    <row r="1">
      <c r="A1" s="6" t="inlineStr">
        <is>
          <t>序号</t>
        </is>
      </c>
      <c r="B1" s="6" t="inlineStr">
        <is>
          <t>一级部门</t>
        </is>
      </c>
      <c r="C1" s="6" t="inlineStr">
        <is>
          <t>二级渠道</t>
        </is>
      </c>
      <c r="D1" s="6" t="inlineStr">
        <is>
          <t>三级店铺</t>
        </is>
      </c>
      <c r="E1" s="6" t="inlineStr">
        <is>
          <t>渠道编码</t>
        </is>
      </c>
      <c r="F1" s="6" t="inlineStr">
        <is>
          <t>定位档位</t>
        </is>
      </c>
      <c r="G1" s="6" t="inlineStr">
        <is>
          <t>Q1目标</t>
        </is>
      </c>
      <c r="H1" s="6" t="inlineStr">
        <is>
          <t>Q2目标</t>
        </is>
      </c>
      <c r="I1" s="6" t="inlineStr">
        <is>
          <t>Q3目标</t>
        </is>
      </c>
      <c r="J1" s="6" t="inlineStr">
        <is>
          <t>Q4目标</t>
        </is>
      </c>
      <c r="K1" s="6" t="inlineStr">
        <is>
          <t>年度目标(锁定)</t>
        </is>
      </c>
      <c r="L1" s="6" t="inlineStr">
        <is>
          <t>累计GMV(实)</t>
        </is>
      </c>
      <c r="M1" s="6" t="inlineStr">
        <is>
          <t>目标完成率</t>
        </is>
      </c>
    </row>
    <row r="2">
      <c r="A2" s="7" t="n">
        <v>1</v>
      </c>
      <c r="B2" s="7" t="inlineStr">
        <is>
          <t>个护部</t>
        </is>
      </c>
      <c r="C2" s="7" t="inlineStr">
        <is>
          <t>天猫</t>
        </is>
      </c>
      <c r="D2" s="2" t="inlineStr">
        <is>
          <t>个护部天猫UNOVE柔诺伊官方旗舰店</t>
        </is>
      </c>
      <c r="E2" s="7" t="inlineStr">
        <is>
          <t>13CHAN10030</t>
        </is>
      </c>
      <c r="F2" s="7" t="inlineStr">
        <is>
          <t>核心直营</t>
        </is>
      </c>
      <c r="G2" s="7" t="inlineStr"/>
      <c r="H2" s="7" t="inlineStr"/>
      <c r="I2" s="7" t="inlineStr"/>
      <c r="J2" s="7" t="inlineStr"/>
      <c r="K2" s="9" t="inlineStr"/>
      <c r="L2" s="7" t="inlineStr"/>
      <c r="M2" s="10">
        <f>IFERROR(L2/K2,"")</f>
        <v/>
      </c>
    </row>
    <row r="3">
      <c r="A3" s="7" t="n">
        <v>2</v>
      </c>
      <c r="B3" s="7" t="inlineStr">
        <is>
          <t>个护部</t>
        </is>
      </c>
      <c r="C3" s="7" t="inlineStr">
        <is>
          <t>天猫国际</t>
        </is>
      </c>
      <c r="D3" s="2" t="inlineStr">
        <is>
          <t>个护部天猫UNOVE海外旗舰店</t>
        </is>
      </c>
      <c r="E3" s="7" t="inlineStr">
        <is>
          <t>13CHAN10039</t>
        </is>
      </c>
      <c r="F3" s="7" t="inlineStr">
        <is>
          <t>核心直营</t>
        </is>
      </c>
      <c r="G3" s="7" t="inlineStr"/>
      <c r="H3" s="7" t="inlineStr"/>
      <c r="I3" s="7" t="inlineStr"/>
      <c r="J3" s="7" t="inlineStr"/>
      <c r="K3" s="9" t="inlineStr"/>
      <c r="L3" s="7" t="inlineStr"/>
      <c r="M3" s="10">
        <f>IFERROR(L3/K3,"")</f>
        <v/>
      </c>
    </row>
    <row r="4">
      <c r="A4" s="7" t="n">
        <v>3</v>
      </c>
      <c r="B4" s="7" t="inlineStr">
        <is>
          <t>直播组</t>
        </is>
      </c>
      <c r="C4" s="7" t="inlineStr">
        <is>
          <t>抖音</t>
        </is>
      </c>
      <c r="D4" s="2" t="inlineStr">
        <is>
          <t>直播组抖音UNOVE柔诺伊官方旗舰店</t>
        </is>
      </c>
      <c r="E4" s="7" t="inlineStr">
        <is>
          <t>13CHAN10132</t>
        </is>
      </c>
      <c r="F4" s="7" t="inlineStr">
        <is>
          <t>核心直营</t>
        </is>
      </c>
      <c r="G4" s="7" t="inlineStr"/>
      <c r="H4" s="7" t="inlineStr"/>
      <c r="I4" s="7" t="inlineStr"/>
      <c r="J4" s="7" t="inlineStr"/>
      <c r="K4" s="9" t="inlineStr"/>
      <c r="L4" s="7" t="inlineStr"/>
      <c r="M4" s="10">
        <f>IFERROR(L4/K4,"")</f>
        <v/>
      </c>
    </row>
    <row r="5">
      <c r="A5" s="7" t="n">
        <v>4</v>
      </c>
      <c r="B5" s="7" t="inlineStr">
        <is>
          <t>直播组</t>
        </is>
      </c>
      <c r="C5" s="7" t="inlineStr">
        <is>
          <t>抖音</t>
        </is>
      </c>
      <c r="D5" s="2" t="inlineStr">
        <is>
          <t>直播组抖音UNOVE柔诺伊个人护理旗舰店</t>
        </is>
      </c>
      <c r="E5" s="7" t="inlineStr">
        <is>
          <t>13CHAN10029</t>
        </is>
      </c>
      <c r="F5" s="7" t="inlineStr">
        <is>
          <t>核心直营</t>
        </is>
      </c>
      <c r="G5" s="7" t="inlineStr"/>
      <c r="H5" s="7" t="inlineStr"/>
      <c r="I5" s="7" t="inlineStr"/>
      <c r="J5" s="7" t="inlineStr"/>
      <c r="K5" s="9" t="inlineStr"/>
      <c r="L5" s="7" t="inlineStr"/>
      <c r="M5" s="10">
        <f>IFERROR(L5/K5,"")</f>
        <v/>
      </c>
    </row>
    <row r="6">
      <c r="A6" s="7" t="n">
        <v>5</v>
      </c>
      <c r="B6" s="7" t="inlineStr">
        <is>
          <t>直播组</t>
        </is>
      </c>
      <c r="C6" s="7" t="inlineStr">
        <is>
          <t>快手</t>
        </is>
      </c>
      <c r="D6" s="2" t="inlineStr">
        <is>
          <t>直播组快手UNOVE柔诺伊旗舰店</t>
        </is>
      </c>
      <c r="E6" s="7" t="inlineStr">
        <is>
          <t>13CHAN10033</t>
        </is>
      </c>
      <c r="F6" s="7" t="inlineStr">
        <is>
          <t>核心直营</t>
        </is>
      </c>
      <c r="G6" s="7" t="inlineStr"/>
      <c r="H6" s="7" t="inlineStr"/>
      <c r="I6" s="7" t="inlineStr"/>
      <c r="J6" s="7" t="inlineStr"/>
      <c r="K6" s="9" t="inlineStr"/>
      <c r="L6" s="7" t="inlineStr"/>
      <c r="M6" s="10">
        <f>IFERROR(L6/K6,"")</f>
        <v/>
      </c>
    </row>
    <row r="7">
      <c r="A7" s="7" t="n">
        <v>6</v>
      </c>
      <c r="B7" s="7" t="inlineStr">
        <is>
          <t>直播组</t>
        </is>
      </c>
      <c r="C7" s="7" t="inlineStr">
        <is>
          <t>小红书</t>
        </is>
      </c>
      <c r="D7" s="2" t="inlineStr">
        <is>
          <t>直播组小红书UNOVE柔诺伊旗舰店</t>
        </is>
      </c>
      <c r="E7" s="7" t="inlineStr">
        <is>
          <t>13CHAN10041</t>
        </is>
      </c>
      <c r="F7" s="7" t="inlineStr">
        <is>
          <t>核心直营</t>
        </is>
      </c>
      <c r="G7" s="7" t="inlineStr"/>
      <c r="H7" s="7" t="inlineStr"/>
      <c r="I7" s="7" t="inlineStr"/>
      <c r="J7" s="7" t="inlineStr"/>
      <c r="K7" s="9" t="inlineStr"/>
      <c r="L7" s="7" t="inlineStr"/>
      <c r="M7" s="10">
        <f>IFERROR(L7/K7,"")</f>
        <v/>
      </c>
    </row>
    <row r="8">
      <c r="A8" s="7" t="n">
        <v>7</v>
      </c>
      <c r="B8" s="7" t="inlineStr">
        <is>
          <t>直供组</t>
        </is>
      </c>
      <c r="C8" s="7" t="inlineStr">
        <is>
          <t>天猫超市</t>
        </is>
      </c>
      <c r="D8" s="2" t="inlineStr">
        <is>
          <t>直供组天猫超市供货-UNOVE</t>
        </is>
      </c>
      <c r="E8" s="7" t="inlineStr">
        <is>
          <t>13CHAN40025-04</t>
        </is>
      </c>
      <c r="F8" s="7" t="inlineStr">
        <is>
          <t>正常直营</t>
        </is>
      </c>
      <c r="G8" s="7" t="inlineStr"/>
      <c r="H8" s="7" t="inlineStr"/>
      <c r="I8" s="7" t="inlineStr"/>
      <c r="J8" s="7" t="inlineStr"/>
      <c r="K8" s="9" t="inlineStr"/>
      <c r="L8" s="7" t="inlineStr"/>
      <c r="M8" s="10">
        <f>IFERROR(L8/K8,"")</f>
        <v/>
      </c>
    </row>
    <row r="9">
      <c r="A9" s="7" t="n">
        <v>8</v>
      </c>
      <c r="B9" s="7" t="inlineStr">
        <is>
          <t>直供组</t>
        </is>
      </c>
      <c r="C9" s="7" t="inlineStr">
        <is>
          <t>京东</t>
        </is>
      </c>
      <c r="D9" s="2" t="inlineStr">
        <is>
          <t>直供组商务UNOVE京东自营旗舰店</t>
        </is>
      </c>
      <c r="E9" s="7" t="inlineStr">
        <is>
          <t>13CHAN10100</t>
        </is>
      </c>
      <c r="F9" s="7" t="inlineStr">
        <is>
          <t>正常直营</t>
        </is>
      </c>
      <c r="G9" s="7" t="inlineStr"/>
      <c r="H9" s="7" t="inlineStr"/>
      <c r="I9" s="7" t="inlineStr"/>
      <c r="J9" s="7" t="inlineStr"/>
      <c r="K9" s="9" t="inlineStr"/>
      <c r="L9" s="7" t="inlineStr"/>
      <c r="M9" s="10">
        <f>IFERROR(L9/K9,"")</f>
        <v/>
      </c>
    </row>
    <row r="10">
      <c r="A10" s="7" t="n">
        <v>9</v>
      </c>
      <c r="B10" s="7" t="inlineStr">
        <is>
          <t>直供组</t>
        </is>
      </c>
      <c r="C10" s="7" t="inlineStr">
        <is>
          <t>京东</t>
        </is>
      </c>
      <c r="D10" s="2" t="inlineStr">
        <is>
          <t>赛燃UNOVE海外京东自营旗舰店</t>
        </is>
      </c>
      <c r="E10" s="7" t="inlineStr">
        <is>
          <t>SAIRAN0021</t>
        </is>
      </c>
      <c r="F10" s="7" t="inlineStr">
        <is>
          <t>正常直营</t>
        </is>
      </c>
      <c r="G10" s="7" t="inlineStr"/>
      <c r="H10" s="7" t="inlineStr"/>
      <c r="I10" s="7" t="inlineStr"/>
      <c r="J10" s="7" t="inlineStr"/>
      <c r="K10" s="9" t="inlineStr"/>
      <c r="L10" s="7" t="inlineStr"/>
      <c r="M10" s="10">
        <f>IFERROR(L10/K10,"")</f>
        <v/>
      </c>
    </row>
    <row r="11">
      <c r="A11" s="7" t="n">
        <v>10</v>
      </c>
      <c r="B11" s="7" t="inlineStr">
        <is>
          <t>直供组</t>
        </is>
      </c>
      <c r="C11" s="7" t="inlineStr">
        <is>
          <t>得物</t>
        </is>
      </c>
      <c r="D11" s="2" t="inlineStr">
        <is>
          <t>得物大贸UNOVE</t>
        </is>
      </c>
      <c r="E11" s="7" t="inlineStr">
        <is>
          <t>XXJ019</t>
        </is>
      </c>
      <c r="F11" s="7" t="inlineStr">
        <is>
          <t>正常直营</t>
        </is>
      </c>
      <c r="G11" s="7" t="inlineStr"/>
      <c r="H11" s="7" t="inlineStr"/>
      <c r="I11" s="7" t="inlineStr"/>
      <c r="J11" s="7" t="inlineStr"/>
      <c r="K11" s="9" t="inlineStr"/>
      <c r="L11" s="7" t="inlineStr"/>
      <c r="M11" s="10">
        <f>IFERROR(L11/K11,"")</f>
        <v/>
      </c>
    </row>
    <row r="12">
      <c r="A12" s="7" t="n">
        <v>11</v>
      </c>
      <c r="B12" s="7" t="inlineStr">
        <is>
          <t>零售组</t>
        </is>
      </c>
      <c r="C12" s="7" t="inlineStr">
        <is>
          <t>拼多多</t>
        </is>
      </c>
      <c r="D12" s="2" t="inlineStr">
        <is>
          <t>零售组拼多多UNOVE柔诺伊美容护发旗舰店</t>
        </is>
      </c>
      <c r="E12" s="7" t="inlineStr">
        <is>
          <t>13CHAN10048</t>
        </is>
      </c>
      <c r="F12" s="7" t="inlineStr">
        <is>
          <t>正常直营</t>
        </is>
      </c>
      <c r="G12" s="7" t="inlineStr"/>
      <c r="H12" s="7" t="inlineStr"/>
      <c r="I12" s="7" t="inlineStr"/>
      <c r="J12" s="7" t="inlineStr"/>
      <c r="K12" s="9" t="inlineStr"/>
      <c r="L12" s="7" t="inlineStr"/>
      <c r="M12" s="10">
        <f>IFERROR(L12/K12,"")</f>
        <v/>
      </c>
    </row>
    <row r="13">
      <c r="A13" s="7" t="n">
        <v>12</v>
      </c>
      <c r="B13" s="7" t="inlineStr">
        <is>
          <t>面护部</t>
        </is>
      </c>
      <c r="C13" s="7" t="inlineStr">
        <is>
          <t>唯品会</t>
        </is>
      </c>
      <c r="D13" s="2" t="inlineStr">
        <is>
          <t>面护部唯品会大贸-UNOVE</t>
        </is>
      </c>
      <c r="E13" s="7" t="inlineStr">
        <is>
          <t>13CHAN10122</t>
        </is>
      </c>
      <c r="F13" s="7" t="inlineStr">
        <is>
          <t>观察期直营</t>
        </is>
      </c>
      <c r="G13" s="7" t="inlineStr"/>
      <c r="H13" s="7" t="inlineStr"/>
      <c r="I13" s="7" t="inlineStr"/>
      <c r="J13" s="7" t="inlineStr"/>
      <c r="K13" s="9" t="inlineStr"/>
      <c r="L13" s="7" t="inlineStr"/>
      <c r="M13" s="10">
        <f>IFERROR(L13/K13,"")</f>
        <v/>
      </c>
    </row>
    <row r="14">
      <c r="A14" s="7" t="n">
        <v>13</v>
      </c>
      <c r="B14" s="7" t="inlineStr">
        <is>
          <t>外贸组</t>
        </is>
      </c>
      <c r="C14" s="7" t="inlineStr">
        <is>
          <t>—</t>
        </is>
      </c>
      <c r="D14" s="2" t="inlineStr">
        <is>
          <t>外贸组UNOVE分销</t>
        </is>
      </c>
      <c r="E14" s="7" t="inlineStr">
        <is>
          <t>XXJ003</t>
        </is>
      </c>
      <c r="F14" s="7" t="inlineStr">
        <is>
          <t>核心分销</t>
        </is>
      </c>
      <c r="G14" s="7" t="inlineStr"/>
      <c r="H14" s="7" t="inlineStr"/>
      <c r="I14" s="7" t="inlineStr"/>
      <c r="J14" s="7" t="inlineStr"/>
      <c r="K14" s="9" t="inlineStr"/>
      <c r="L14" s="7" t="inlineStr"/>
      <c r="M14" s="10">
        <f>IFERROR(L14/K14,"")</f>
        <v/>
      </c>
    </row>
    <row r="15">
      <c r="A15" s="7" t="n">
        <v>14</v>
      </c>
      <c r="B15" s="7" t="inlineStr">
        <is>
          <t>分销组</t>
        </is>
      </c>
      <c r="C15" s="7" t="inlineStr">
        <is>
          <t>—</t>
        </is>
      </c>
      <c r="D15" s="2" t="inlineStr">
        <is>
          <t>分销组UNOVE</t>
        </is>
      </c>
      <c r="E15" s="7" t="inlineStr">
        <is>
          <t>13CHAN10058</t>
        </is>
      </c>
      <c r="F15" s="7" t="inlineStr">
        <is>
          <t>核心分销</t>
        </is>
      </c>
      <c r="G15" s="7" t="inlineStr"/>
      <c r="H15" s="7" t="inlineStr"/>
      <c r="I15" s="7" t="inlineStr"/>
      <c r="J15" s="7" t="inlineStr"/>
      <c r="K15" s="9" t="inlineStr"/>
      <c r="L15" s="7" t="inlineStr"/>
      <c r="M15" s="10">
        <f>IFERROR(L15/K15,"")</f>
        <v/>
      </c>
    </row>
    <row r="16">
      <c r="A16" s="7" t="n">
        <v>15</v>
      </c>
      <c r="B16" s="7" t="inlineStr">
        <is>
          <t>线下组</t>
        </is>
      </c>
      <c r="C16" s="7" t="inlineStr">
        <is>
          <t>—</t>
        </is>
      </c>
      <c r="D16" s="2" t="inlineStr">
        <is>
          <t>线下组UNOVE</t>
        </is>
      </c>
      <c r="E16" s="7" t="inlineStr">
        <is>
          <t>13CHAN10084</t>
        </is>
      </c>
      <c r="F16" s="7" t="inlineStr">
        <is>
          <t>核心分销</t>
        </is>
      </c>
      <c r="G16" s="7" t="inlineStr"/>
      <c r="H16" s="7" t="inlineStr"/>
      <c r="I16" s="7" t="inlineStr"/>
      <c r="J16" s="7" t="inlineStr"/>
      <c r="K16" s="9" t="inlineStr"/>
      <c r="L16" s="7" t="inlineStr"/>
      <c r="M16" s="10">
        <f>IFERROR(L16/K16,"")</f>
        <v/>
      </c>
    </row>
    <row r="17">
      <c r="A17" s="7" t="n">
        <v>16</v>
      </c>
      <c r="B17" s="7" t="inlineStr">
        <is>
          <t>直供组</t>
        </is>
      </c>
      <c r="C17" s="7" t="inlineStr">
        <is>
          <t>—</t>
        </is>
      </c>
      <c r="D17" s="2" t="inlineStr">
        <is>
          <t>直供组UNOVE分销-回款</t>
        </is>
      </c>
      <c r="E17" s="7" t="inlineStr">
        <is>
          <t>XXJ025</t>
        </is>
      </c>
      <c r="F17" s="7" t="inlineStr">
        <is>
          <t>正常分销</t>
        </is>
      </c>
      <c r="G17" s="7" t="inlineStr"/>
      <c r="H17" s="7" t="inlineStr"/>
      <c r="I17" s="7" t="inlineStr"/>
      <c r="J17" s="7" t="inlineStr"/>
      <c r="K17" s="9" t="inlineStr"/>
      <c r="L17" s="7" t="inlineStr"/>
      <c r="M17" s="10">
        <f>IFERROR(L17/K17,"")</f>
        <v/>
      </c>
    </row>
    <row r="18">
      <c r="A18" s="7" t="n">
        <v>17</v>
      </c>
      <c r="B18" s="7" t="inlineStr">
        <is>
          <t>KA组</t>
        </is>
      </c>
      <c r="C18" s="7" t="inlineStr">
        <is>
          <t>—</t>
        </is>
      </c>
      <c r="D18" s="2" t="inlineStr">
        <is>
          <t>KA组UNOVE分销</t>
        </is>
      </c>
      <c r="E18" s="7" t="inlineStr">
        <is>
          <t>13CHAN50135</t>
        </is>
      </c>
      <c r="F18" s="7" t="inlineStr">
        <is>
          <t>正常分销</t>
        </is>
      </c>
      <c r="G18" s="7" t="inlineStr"/>
      <c r="H18" s="7" t="inlineStr"/>
      <c r="I18" s="7" t="inlineStr"/>
      <c r="J18" s="7" t="inlineStr"/>
      <c r="K18" s="9" t="inlineStr"/>
      <c r="L18" s="7" t="inlineStr"/>
      <c r="M18" s="10">
        <f>IFERROR(L18/K18,"")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2" customWidth="1" min="3" max="3"/>
    <col width="34" customWidth="1" min="4" max="4"/>
    <col width="10" customWidth="1" min="5" max="5"/>
  </cols>
  <sheetData>
    <row r="1">
      <c r="A1" s="6" t="inlineStr">
        <is>
          <t>序号</t>
        </is>
      </c>
      <c r="B1" s="6" t="inlineStr">
        <is>
          <t>统计步骤 / 指标</t>
        </is>
      </c>
      <c r="C1" s="6" t="inlineStr">
        <is>
          <t>口径与公式</t>
        </is>
      </c>
      <c r="D1" s="6" t="inlineStr">
        <is>
          <t>数据来源</t>
        </is>
      </c>
      <c r="E1" s="6" t="inlineStr">
        <is>
          <t>节奏</t>
        </is>
      </c>
    </row>
    <row r="2">
      <c r="A2" s="7" t="n">
        <v>1</v>
      </c>
      <c r="B2" s="2" t="inlineStr">
        <is>
          <t>渠道唯一识别</t>
        </is>
      </c>
      <c r="C2" s="2" t="inlineStr">
        <is>
          <t>以「渠道编码 + 渠道名称」唯一性识别 UNOVE 全渠道销售额；部门/店铺名改动时以渠道编码为准</t>
        </is>
      </c>
      <c r="D2" s="2" t="inlineStr">
        <is>
          <t>导图节点「渠道定义和统计维度」备注</t>
        </is>
      </c>
      <c r="E2" s="7" t="inlineStr">
        <is>
          <t>常态</t>
        </is>
      </c>
    </row>
    <row r="3">
      <c r="A3" s="7" t="n">
        <v>2</v>
      </c>
      <c r="B3" s="2" t="inlineStr">
        <is>
          <t>三级归纳结构</t>
        </is>
      </c>
      <c r="C3" s="2" t="inlineStr">
        <is>
          <t>一级=部门，二级=渠道，三级=具体店铺，共 17 个店铺渠道编码</t>
        </is>
      </c>
      <c r="D3" s="2" t="inlineStr">
        <is>
          <t>同一备注</t>
        </is>
      </c>
      <c r="E3" s="7" t="inlineStr">
        <is>
          <t>常态</t>
        </is>
      </c>
    </row>
    <row r="4">
      <c r="A4" s="7" t="n">
        <v>3</v>
      </c>
      <c r="B4" s="2" t="inlineStr">
        <is>
          <t>销售日报表更新</t>
        </is>
      </c>
      <c r="C4" s="2" t="inlineStr">
        <is>
          <t>全渠道以日维度更新 GMV/实收；渠道定位沿用「渠道定义和渠道定位」</t>
        </is>
      </c>
      <c r="D4" s="2" t="inlineStr">
        <is>
          <t>企业微信 smartsheet（日更）</t>
        </is>
      </c>
      <c r="E4" s="7" t="inlineStr">
        <is>
          <t>每天</t>
        </is>
      </c>
    </row>
    <row r="5">
      <c r="A5" s="7" t="n">
        <v>4</v>
      </c>
      <c r="B5" s="2" t="inlineStr">
        <is>
          <t>2026年渠道目标更新</t>
        </is>
      </c>
      <c r="C5" s="2" t="inlineStr">
        <is>
          <t>每季度第一天更新；全年总目标确定后不可修改，每季度复盘一次季度目标</t>
        </is>
      </c>
      <c r="D5" s="2" t="inlineStr">
        <is>
          <t>企业微信 sheet</t>
        </is>
      </c>
      <c r="E5" s="7" t="inlineStr">
        <is>
          <t>每季首日</t>
        </is>
      </c>
    </row>
    <row r="6">
      <c r="A6" s="7" t="n">
        <v>5</v>
      </c>
      <c r="B6" s="2" t="inlineStr">
        <is>
          <t>渠道GMV销售进度</t>
        </is>
      </c>
      <c r="C6" s="2">
        <f> 统计期内渠道累计 GMV</f>
        <v/>
      </c>
      <c r="D6" s="2" t="inlineStr">
        <is>
          <t>B2B的GMV维度销售数据登记表 / 销售日报表</t>
        </is>
      </c>
      <c r="E6" s="7" t="inlineStr">
        <is>
          <t>日/季</t>
        </is>
      </c>
    </row>
    <row r="7">
      <c r="A7" s="7" t="n">
        <v>6</v>
      </c>
      <c r="B7" s="2" t="inlineStr">
        <is>
          <t>目标完成率</t>
        </is>
      </c>
      <c r="C7" s="2">
        <f> 累计GMV ÷ 年度（或季度）目标 GMV</f>
        <v/>
      </c>
      <c r="D7" s="2" t="inlineStr">
        <is>
          <t>2026年渠道目标 + 销售日报表</t>
        </is>
      </c>
      <c r="E7" s="7" t="inlineStr">
        <is>
          <t>日/季</t>
        </is>
      </c>
    </row>
    <row r="8">
      <c r="A8" s="7" t="n">
        <v>7</v>
      </c>
      <c r="B8" s="2" t="inlineStr">
        <is>
          <t>增长要求分级</t>
        </is>
      </c>
      <c r="C8" s="2" t="inlineStr">
        <is>
          <t>核心直营/核心分销=按比例高增长；正常直营/正常分销=按比例增长（低于核心）；观察期直营+小红书=豁免（保持在售）</t>
        </is>
      </c>
      <c r="D8" s="2" t="inlineStr">
        <is>
          <t>导图「渠道增长」「渠道豁免」备注</t>
        </is>
      </c>
      <c r="E8" s="7" t="inlineStr">
        <is>
          <t>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2026-09-14T03:09:04Z</dcterms:created>
  <dcterms:modified xmlns:dcterms="http://purl.org/dc/terms/" xmlns:xsi="http://www.w3.org/2001/XMLSchema-instance" xsi:type="dcterms:W3CDTF">2026-09-14T03:09:04Z</dcterms:modified>
</cp:coreProperties>
</file>