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周转监控表" sheetId="1" state="visible" r:id="rId1"/>
    <sheet xmlns:r="http://schemas.openxmlformats.org/officeDocument/2006/relationships" name="取数口径与字段说明" sheetId="2" state="visible" r:id="rId2"/>
    <sheet xmlns:r="http://schemas.openxmlformats.org/officeDocument/2006/relationships" name="SOP步骤检查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B5BDB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BDB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1" customWidth="1" min="3" max="3"/>
    <col width="30" customWidth="1" min="4" max="4"/>
    <col width="15" customWidth="1" min="5" max="5"/>
    <col width="12" customWidth="1" min="6" max="6"/>
    <col width="14" customWidth="1" min="7" max="7"/>
    <col width="12" customWidth="1" min="8" max="8"/>
    <col width="10" customWidth="1" min="9" max="9"/>
    <col width="11" customWidth="1" min="10" max="10"/>
    <col width="11" customWidth="1" min="11" max="11"/>
    <col width="9" customWidth="1" min="12" max="12"/>
    <col width="10" customWidth="1" min="13" max="13"/>
    <col width="16" customWidth="1" min="14" max="14"/>
    <col width="16" customWidth="1" min="15" max="15"/>
  </cols>
  <sheetData>
    <row r="1">
      <c r="A1" s="1" t="inlineStr">
        <is>
          <t>渠道库存周转监控表（D：库存周转 · room-xgoibqb8 · 生成 2026-09-14 16:53）</t>
        </is>
      </c>
    </row>
    <row r="3">
      <c r="A3" s="2" t="inlineStr">
        <is>
          <t>序号</t>
        </is>
      </c>
      <c r="B3" s="2" t="inlineStr">
        <is>
          <t>渠道组</t>
        </is>
      </c>
      <c r="C3" s="2" t="inlineStr">
        <is>
          <t>渠道</t>
        </is>
      </c>
      <c r="D3" s="2" t="inlineStr">
        <is>
          <t>店铺名称</t>
        </is>
      </c>
      <c r="E3" s="2" t="inlineStr">
        <is>
          <t>店铺编号</t>
        </is>
      </c>
      <c r="F3" s="2" t="inlineStr">
        <is>
          <t>期末库存数量</t>
        </is>
      </c>
      <c r="G3" s="2" t="inlineStr">
        <is>
          <t>期末库存金额(元)</t>
        </is>
      </c>
      <c r="H3" s="2" t="inlineStr">
        <is>
          <t>期间出库数量</t>
        </is>
      </c>
      <c r="I3" s="2" t="inlineStr">
        <is>
          <t>期间天数</t>
        </is>
      </c>
      <c r="J3" s="2" t="inlineStr">
        <is>
          <t>日均出库</t>
        </is>
      </c>
      <c r="K3" s="2" t="inlineStr">
        <is>
          <t>周转天数</t>
        </is>
      </c>
      <c r="L3" s="2" t="inlineStr">
        <is>
          <t>阈值(天)</t>
        </is>
      </c>
      <c r="M3" s="2" t="inlineStr">
        <is>
          <t>周转状态</t>
        </is>
      </c>
      <c r="N3" s="2" t="inlineStr">
        <is>
          <t>判定动作</t>
        </is>
      </c>
      <c r="O3" s="2" t="inlineStr">
        <is>
          <t>预期周转正常时间</t>
        </is>
      </c>
    </row>
    <row r="4">
      <c r="A4" s="3" t="n">
        <v>1</v>
      </c>
      <c r="B4" s="3" t="inlineStr">
        <is>
          <t>个护部</t>
        </is>
      </c>
      <c r="C4" s="3" t="inlineStr">
        <is>
          <t>天猫</t>
        </is>
      </c>
      <c r="D4" s="4" t="inlineStr">
        <is>
          <t>个护部天猫UNOVE柔诺伊官方旗舰店</t>
        </is>
      </c>
      <c r="E4" s="3" t="inlineStr">
        <is>
          <t>13CHAN10030</t>
        </is>
      </c>
      <c r="F4" s="3" t="n"/>
      <c r="G4" s="3" t="n"/>
      <c r="H4" s="3" t="n"/>
      <c r="I4" s="3" t="n"/>
      <c r="J4" s="3">
        <f>IFERROR(H4/I4,"")</f>
        <v/>
      </c>
      <c r="K4" s="3">
        <f>IFERROR(F4/J4,"")</f>
        <v/>
      </c>
      <c r="L4" s="3" t="n"/>
      <c r="M4" s="3" t="inlineStr">
        <is>
          <t>待判定</t>
        </is>
      </c>
      <c r="N4" s="3" t="n"/>
      <c r="O4" s="3" t="n"/>
    </row>
    <row r="5">
      <c r="A5" s="3" t="n">
        <v>2</v>
      </c>
      <c r="B5" s="3" t="inlineStr">
        <is>
          <t>个护部</t>
        </is>
      </c>
      <c r="C5" s="3" t="inlineStr">
        <is>
          <t>天猫国际</t>
        </is>
      </c>
      <c r="D5" s="4" t="inlineStr">
        <is>
          <t>个护部天猫UNOVE海外旗舰店</t>
        </is>
      </c>
      <c r="E5" s="3" t="inlineStr">
        <is>
          <t>13CHAN10039</t>
        </is>
      </c>
      <c r="F5" s="3" t="n"/>
      <c r="G5" s="3" t="n"/>
      <c r="H5" s="3" t="n"/>
      <c r="I5" s="3" t="n"/>
      <c r="J5" s="3">
        <f>IFERROR(H5/I5,"")</f>
        <v/>
      </c>
      <c r="K5" s="3">
        <f>IFERROR(F5/J5,"")</f>
        <v/>
      </c>
      <c r="L5" s="3" t="n"/>
      <c r="M5" s="3" t="inlineStr">
        <is>
          <t>待判定</t>
        </is>
      </c>
      <c r="N5" s="3" t="n"/>
      <c r="O5" s="3" t="n"/>
    </row>
    <row r="6">
      <c r="A6" s="3" t="n">
        <v>3</v>
      </c>
      <c r="B6" s="3" t="inlineStr">
        <is>
          <t>直播组</t>
        </is>
      </c>
      <c r="C6" s="3" t="inlineStr">
        <is>
          <t>抖音</t>
        </is>
      </c>
      <c r="D6" s="4" t="inlineStr">
        <is>
          <t>直播组抖音UNOVE柔诺伊官方旗舰店</t>
        </is>
      </c>
      <c r="E6" s="3" t="inlineStr">
        <is>
          <t>13CHAN10132</t>
        </is>
      </c>
      <c r="F6" s="3" t="n"/>
      <c r="G6" s="3" t="n"/>
      <c r="H6" s="3" t="n"/>
      <c r="I6" s="3" t="n"/>
      <c r="J6" s="3">
        <f>IFERROR(H6/I6,"")</f>
        <v/>
      </c>
      <c r="K6" s="3">
        <f>IFERROR(F6/J6,"")</f>
        <v/>
      </c>
      <c r="L6" s="3" t="n"/>
      <c r="M6" s="3" t="inlineStr">
        <is>
          <t>待判定</t>
        </is>
      </c>
      <c r="N6" s="3" t="n"/>
      <c r="O6" s="3" t="n"/>
    </row>
    <row r="7">
      <c r="A7" s="3" t="n">
        <v>4</v>
      </c>
      <c r="B7" s="3" t="inlineStr">
        <is>
          <t>直播组</t>
        </is>
      </c>
      <c r="C7" s="3" t="inlineStr">
        <is>
          <t>抖音</t>
        </is>
      </c>
      <c r="D7" s="4" t="inlineStr">
        <is>
          <t>直播组抖音UNOVE柔诺伊个人护理旗舰店</t>
        </is>
      </c>
      <c r="E7" s="3" t="inlineStr">
        <is>
          <t>13CHAN10029</t>
        </is>
      </c>
      <c r="F7" s="3" t="n"/>
      <c r="G7" s="3" t="n"/>
      <c r="H7" s="3" t="n"/>
      <c r="I7" s="3" t="n"/>
      <c r="J7" s="3">
        <f>IFERROR(H7/I7,"")</f>
        <v/>
      </c>
      <c r="K7" s="3">
        <f>IFERROR(F7/J7,"")</f>
        <v/>
      </c>
      <c r="L7" s="3" t="n"/>
      <c r="M7" s="3" t="inlineStr">
        <is>
          <t>待判定</t>
        </is>
      </c>
      <c r="N7" s="3" t="n"/>
      <c r="O7" s="3" t="n"/>
    </row>
    <row r="8">
      <c r="A8" s="3" t="n">
        <v>5</v>
      </c>
      <c r="B8" s="3" t="inlineStr">
        <is>
          <t>直播组</t>
        </is>
      </c>
      <c r="C8" s="3" t="inlineStr">
        <is>
          <t>快手</t>
        </is>
      </c>
      <c r="D8" s="4" t="inlineStr">
        <is>
          <t>直播组快手UNOVE柔诺伊旗舰店</t>
        </is>
      </c>
      <c r="E8" s="3" t="inlineStr">
        <is>
          <t>13CHAN10033</t>
        </is>
      </c>
      <c r="F8" s="3" t="n"/>
      <c r="G8" s="3" t="n"/>
      <c r="H8" s="3" t="n"/>
      <c r="I8" s="3" t="n"/>
      <c r="J8" s="3">
        <f>IFERROR(H8/I8,"")</f>
        <v/>
      </c>
      <c r="K8" s="3">
        <f>IFERROR(F8/J8,"")</f>
        <v/>
      </c>
      <c r="L8" s="3" t="n"/>
      <c r="M8" s="3" t="inlineStr">
        <is>
          <t>待判定</t>
        </is>
      </c>
      <c r="N8" s="3" t="n"/>
      <c r="O8" s="3" t="n"/>
    </row>
    <row r="9">
      <c r="A9" s="3" t="n">
        <v>6</v>
      </c>
      <c r="B9" s="3" t="inlineStr">
        <is>
          <t>直播组</t>
        </is>
      </c>
      <c r="C9" s="3" t="inlineStr">
        <is>
          <t>小红书</t>
        </is>
      </c>
      <c r="D9" s="4" t="inlineStr">
        <is>
          <t>直播组小红书UNOVE柔诺伊旗舰店</t>
        </is>
      </c>
      <c r="E9" s="3" t="inlineStr">
        <is>
          <t>13CHAN10041</t>
        </is>
      </c>
      <c r="F9" s="3" t="n"/>
      <c r="G9" s="3" t="n"/>
      <c r="H9" s="3" t="n"/>
      <c r="I9" s="3" t="n"/>
      <c r="J9" s="3">
        <f>IFERROR(H9/I9,"")</f>
        <v/>
      </c>
      <c r="K9" s="3">
        <f>IFERROR(F9/J9,"")</f>
        <v/>
      </c>
      <c r="L9" s="3" t="n"/>
      <c r="M9" s="3" t="inlineStr">
        <is>
          <t>待判定</t>
        </is>
      </c>
      <c r="N9" s="3" t="n"/>
      <c r="O9" s="3" t="n"/>
    </row>
    <row r="10">
      <c r="A10" s="3" t="n">
        <v>7</v>
      </c>
      <c r="B10" s="3" t="inlineStr">
        <is>
          <t>直供组</t>
        </is>
      </c>
      <c r="C10" s="3" t="inlineStr">
        <is>
          <t>天猫超市</t>
        </is>
      </c>
      <c r="D10" s="4" t="inlineStr">
        <is>
          <t>直供组天猫超市供货-UNOVE</t>
        </is>
      </c>
      <c r="E10" s="3" t="inlineStr">
        <is>
          <t>13CHAN40025-04</t>
        </is>
      </c>
      <c r="F10" s="3" t="n"/>
      <c r="G10" s="3" t="n"/>
      <c r="H10" s="3" t="n"/>
      <c r="I10" s="3" t="n"/>
      <c r="J10" s="3">
        <f>IFERROR(H10/I10,"")</f>
        <v/>
      </c>
      <c r="K10" s="3">
        <f>IFERROR(F10/J10,"")</f>
        <v/>
      </c>
      <c r="L10" s="3" t="n"/>
      <c r="M10" s="3" t="inlineStr">
        <is>
          <t>待判定</t>
        </is>
      </c>
      <c r="N10" s="3" t="n"/>
      <c r="O10" s="3" t="n"/>
    </row>
    <row r="11">
      <c r="A11" s="3" t="n">
        <v>8</v>
      </c>
      <c r="B11" s="3" t="inlineStr">
        <is>
          <t>直供组</t>
        </is>
      </c>
      <c r="C11" s="3" t="inlineStr">
        <is>
          <t>京东</t>
        </is>
      </c>
      <c r="D11" s="4" t="inlineStr">
        <is>
          <t>直供组商务UNOVE京东自营旗舰店</t>
        </is>
      </c>
      <c r="E11" s="3" t="inlineStr">
        <is>
          <t>13CHAN10100</t>
        </is>
      </c>
      <c r="F11" s="3" t="n"/>
      <c r="G11" s="3" t="n"/>
      <c r="H11" s="3" t="n"/>
      <c r="I11" s="3" t="n"/>
      <c r="J11" s="3">
        <f>IFERROR(H11/I11,"")</f>
        <v/>
      </c>
      <c r="K11" s="3">
        <f>IFERROR(F11/J11,"")</f>
        <v/>
      </c>
      <c r="L11" s="3" t="n"/>
      <c r="M11" s="3" t="inlineStr">
        <is>
          <t>待判定</t>
        </is>
      </c>
      <c r="N11" s="3" t="n"/>
      <c r="O11" s="3" t="n"/>
    </row>
    <row r="12">
      <c r="A12" s="3" t="n">
        <v>9</v>
      </c>
      <c r="B12" s="3" t="inlineStr">
        <is>
          <t>直供组</t>
        </is>
      </c>
      <c r="C12" s="3" t="inlineStr">
        <is>
          <t>京东</t>
        </is>
      </c>
      <c r="D12" s="4" t="inlineStr">
        <is>
          <t>赛燃UNOVE海外京东自营旗舰店</t>
        </is>
      </c>
      <c r="E12" s="3" t="inlineStr">
        <is>
          <t>SAIRAN0021</t>
        </is>
      </c>
      <c r="F12" s="3" t="n"/>
      <c r="G12" s="3" t="n"/>
      <c r="H12" s="3" t="n"/>
      <c r="I12" s="3" t="n"/>
      <c r="J12" s="3">
        <f>IFERROR(H12/I12,"")</f>
        <v/>
      </c>
      <c r="K12" s="3">
        <f>IFERROR(F12/J12,"")</f>
        <v/>
      </c>
      <c r="L12" s="3" t="n"/>
      <c r="M12" s="3" t="inlineStr">
        <is>
          <t>待判定</t>
        </is>
      </c>
      <c r="N12" s="3" t="n"/>
      <c r="O12" s="3" t="n"/>
    </row>
    <row r="13">
      <c r="A13" s="3" t="n">
        <v>10</v>
      </c>
      <c r="B13" s="3" t="inlineStr">
        <is>
          <t>直供组</t>
        </is>
      </c>
      <c r="C13" s="3" t="inlineStr">
        <is>
          <t>得物</t>
        </is>
      </c>
      <c r="D13" s="4" t="inlineStr">
        <is>
          <t>得物大贸UNOVE</t>
        </is>
      </c>
      <c r="E13" s="3" t="inlineStr">
        <is>
          <t>XXJ019</t>
        </is>
      </c>
      <c r="F13" s="3" t="n"/>
      <c r="G13" s="3" t="n"/>
      <c r="H13" s="3" t="n"/>
      <c r="I13" s="3" t="n"/>
      <c r="J13" s="3">
        <f>IFERROR(H13/I13,"")</f>
        <v/>
      </c>
      <c r="K13" s="3">
        <f>IFERROR(F13/J13,"")</f>
        <v/>
      </c>
      <c r="L13" s="3" t="n"/>
      <c r="M13" s="3" t="inlineStr">
        <is>
          <t>待判定</t>
        </is>
      </c>
      <c r="N13" s="3" t="n"/>
      <c r="O13" s="3" t="n"/>
    </row>
    <row r="14">
      <c r="A14" s="3" t="n">
        <v>11</v>
      </c>
      <c r="B14" s="3" t="inlineStr">
        <is>
          <t>零售组</t>
        </is>
      </c>
      <c r="C14" s="3" t="inlineStr">
        <is>
          <t>拼多多</t>
        </is>
      </c>
      <c r="D14" s="4" t="inlineStr">
        <is>
          <t>零售组拼多多UNOVE柔诺伊美容护发旗舰店</t>
        </is>
      </c>
      <c r="E14" s="3" t="inlineStr">
        <is>
          <t>13CHAN10048</t>
        </is>
      </c>
      <c r="F14" s="3" t="n"/>
      <c r="G14" s="3" t="n"/>
      <c r="H14" s="3" t="n"/>
      <c r="I14" s="3" t="n"/>
      <c r="J14" s="3">
        <f>IFERROR(H14/I14,"")</f>
        <v/>
      </c>
      <c r="K14" s="3">
        <f>IFERROR(F14/J14,"")</f>
        <v/>
      </c>
      <c r="L14" s="3" t="n"/>
      <c r="M14" s="3" t="inlineStr">
        <is>
          <t>待判定</t>
        </is>
      </c>
      <c r="N14" s="3" t="n"/>
      <c r="O14" s="3" t="n"/>
    </row>
    <row r="15">
      <c r="A15" s="3" t="n">
        <v>12</v>
      </c>
      <c r="B15" s="3" t="inlineStr">
        <is>
          <t>面护部</t>
        </is>
      </c>
      <c r="C15" s="3" t="inlineStr">
        <is>
          <t>唯品会</t>
        </is>
      </c>
      <c r="D15" s="4" t="inlineStr">
        <is>
          <t>面护部唯品会大贸-UNOVE</t>
        </is>
      </c>
      <c r="E15" s="3" t="inlineStr">
        <is>
          <t>13CHAN10122</t>
        </is>
      </c>
      <c r="F15" s="3" t="n"/>
      <c r="G15" s="3" t="n"/>
      <c r="H15" s="3" t="n"/>
      <c r="I15" s="3" t="n"/>
      <c r="J15" s="3">
        <f>IFERROR(H15/I15,"")</f>
        <v/>
      </c>
      <c r="K15" s="3">
        <f>IFERROR(F15/J15,"")</f>
        <v/>
      </c>
      <c r="L15" s="3" t="n"/>
      <c r="M15" s="3" t="inlineStr">
        <is>
          <t>待判定</t>
        </is>
      </c>
      <c r="N15" s="3" t="n"/>
      <c r="O15" s="3" t="n"/>
    </row>
    <row r="16">
      <c r="A16" s="3" t="n">
        <v>13</v>
      </c>
      <c r="B16" s="3" t="inlineStr">
        <is>
          <t>外贸组</t>
        </is>
      </c>
      <c r="C16" s="3" t="inlineStr">
        <is>
          <t>外贸分销</t>
        </is>
      </c>
      <c r="D16" s="4" t="inlineStr">
        <is>
          <t>外贸组UNOVE分销</t>
        </is>
      </c>
      <c r="E16" s="3" t="inlineStr">
        <is>
          <t>XXJ003</t>
        </is>
      </c>
      <c r="F16" s="3" t="n"/>
      <c r="G16" s="3" t="n"/>
      <c r="H16" s="3" t="n"/>
      <c r="I16" s="3" t="n"/>
      <c r="J16" s="3">
        <f>IFERROR(H16/I16,"")</f>
        <v/>
      </c>
      <c r="K16" s="3">
        <f>IFERROR(F16/J16,"")</f>
        <v/>
      </c>
      <c r="L16" s="3" t="n"/>
      <c r="M16" s="3" t="inlineStr">
        <is>
          <t>待判定</t>
        </is>
      </c>
      <c r="N16" s="3" t="n"/>
      <c r="O16" s="3" t="n"/>
    </row>
    <row r="17">
      <c r="A17" s="3" t="n">
        <v>14</v>
      </c>
      <c r="B17" s="3" t="inlineStr">
        <is>
          <t>分销组</t>
        </is>
      </c>
      <c r="C17" s="3" t="inlineStr">
        <is>
          <t>分销</t>
        </is>
      </c>
      <c r="D17" s="4" t="inlineStr">
        <is>
          <t>分销组UNOVE</t>
        </is>
      </c>
      <c r="E17" s="3" t="inlineStr">
        <is>
          <t>13CHAN10058</t>
        </is>
      </c>
      <c r="F17" s="3" t="n"/>
      <c r="G17" s="3" t="n"/>
      <c r="H17" s="3" t="n"/>
      <c r="I17" s="3" t="n"/>
      <c r="J17" s="3">
        <f>IFERROR(H17/I17,"")</f>
        <v/>
      </c>
      <c r="K17" s="3">
        <f>IFERROR(F17/J17,"")</f>
        <v/>
      </c>
      <c r="L17" s="3" t="n"/>
      <c r="M17" s="3" t="inlineStr">
        <is>
          <t>待判定</t>
        </is>
      </c>
      <c r="N17" s="3" t="n"/>
      <c r="O17" s="3" t="n"/>
    </row>
    <row r="18">
      <c r="A18" s="3" t="n">
        <v>15</v>
      </c>
      <c r="B18" s="3" t="inlineStr">
        <is>
          <t>线下组</t>
        </is>
      </c>
      <c r="C18" s="3" t="inlineStr">
        <is>
          <t>线下</t>
        </is>
      </c>
      <c r="D18" s="4" t="inlineStr">
        <is>
          <t>线下组UNOVE</t>
        </is>
      </c>
      <c r="E18" s="3" t="inlineStr">
        <is>
          <t>13CHAN10084</t>
        </is>
      </c>
      <c r="F18" s="3" t="n"/>
      <c r="G18" s="3" t="n"/>
      <c r="H18" s="3" t="n"/>
      <c r="I18" s="3" t="n"/>
      <c r="J18" s="3">
        <f>IFERROR(H18/I18,"")</f>
        <v/>
      </c>
      <c r="K18" s="3">
        <f>IFERROR(F18/J18,"")</f>
        <v/>
      </c>
      <c r="L18" s="3" t="n"/>
      <c r="M18" s="3" t="inlineStr">
        <is>
          <t>待判定</t>
        </is>
      </c>
      <c r="N18" s="3" t="n"/>
      <c r="O18" s="3" t="n"/>
    </row>
    <row r="19">
      <c r="A19" s="3" t="n">
        <v>16</v>
      </c>
      <c r="B19" s="3" t="inlineStr">
        <is>
          <t>直供组</t>
        </is>
      </c>
      <c r="C19" s="3" t="inlineStr">
        <is>
          <t>直供分销-回款</t>
        </is>
      </c>
      <c r="D19" s="4" t="inlineStr">
        <is>
          <t>直供组UNOVE分销-回款</t>
        </is>
      </c>
      <c r="E19" s="3" t="inlineStr">
        <is>
          <t>XXJ025</t>
        </is>
      </c>
      <c r="F19" s="3" t="n"/>
      <c r="G19" s="3" t="n"/>
      <c r="H19" s="3" t="n"/>
      <c r="I19" s="3" t="n"/>
      <c r="J19" s="3">
        <f>IFERROR(H19/I19,"")</f>
        <v/>
      </c>
      <c r="K19" s="3">
        <f>IFERROR(F19/J19,"")</f>
        <v/>
      </c>
      <c r="L19" s="3" t="n"/>
      <c r="M19" s="3" t="inlineStr">
        <is>
          <t>待判定</t>
        </is>
      </c>
      <c r="N19" s="3" t="n"/>
      <c r="O19" s="3" t="n"/>
    </row>
    <row r="20">
      <c r="A20" s="3" t="n">
        <v>17</v>
      </c>
      <c r="B20" s="3" t="inlineStr">
        <is>
          <t>KA组</t>
        </is>
      </c>
      <c r="C20" s="3" t="inlineStr">
        <is>
          <t>KA分销</t>
        </is>
      </c>
      <c r="D20" s="4" t="inlineStr">
        <is>
          <t>KA组UNOVE分销</t>
        </is>
      </c>
      <c r="E20" s="3" t="inlineStr">
        <is>
          <t>13CHAN50135</t>
        </is>
      </c>
      <c r="F20" s="3" t="n"/>
      <c r="G20" s="3" t="n"/>
      <c r="H20" s="3" t="n"/>
      <c r="I20" s="3" t="n"/>
      <c r="J20" s="3">
        <f>IFERROR(H20/I20,"")</f>
        <v/>
      </c>
      <c r="K20" s="3">
        <f>IFERROR(F20/J20,"")</f>
        <v/>
      </c>
      <c r="L20" s="3" t="n"/>
      <c r="M20" s="3" t="inlineStr">
        <is>
          <t>待判定</t>
        </is>
      </c>
      <c r="N20" s="3" t="n"/>
      <c r="O20" s="3" t="n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8" customWidth="1" min="3" max="3"/>
    <col width="20" customWidth="1" min="4" max="4"/>
  </cols>
  <sheetData>
    <row r="1">
      <c r="A1" s="2" t="inlineStr">
        <is>
          <t>字段</t>
        </is>
      </c>
      <c r="B1" s="2" t="inlineStr">
        <is>
          <t>口径 / 说明</t>
        </is>
      </c>
      <c r="C1" s="2" t="inlineStr">
        <is>
          <t>来源</t>
        </is>
      </c>
      <c r="D1" s="2" t="inlineStr">
        <is>
          <t>备注</t>
        </is>
      </c>
    </row>
    <row r="2">
      <c r="A2" s="4" t="inlineStr">
        <is>
          <t>期末库存数量</t>
        </is>
      </c>
      <c r="B2" s="4" t="inlineStr">
        <is>
          <t>指定时点各店铺可用库存数量</t>
        </is>
      </c>
      <c r="C2" s="4" t="inlineStr">
        <is>
          <t>ERP 吉客云-分仓库存查询</t>
        </is>
      </c>
      <c r="D2" s="4" t="inlineStr">
        <is>
          <t>按渠道编码归集</t>
        </is>
      </c>
    </row>
    <row r="3">
      <c r="A3" s="4" t="inlineStr">
        <is>
          <t>期末库存金额(元)</t>
        </is>
      </c>
      <c r="B3" s="4" t="inlineStr">
        <is>
          <t>期末库存数量 × 单位成本（财务口径）</t>
        </is>
      </c>
      <c r="C3" s="4" t="inlineStr">
        <is>
          <t>财务-月度库存管理报表</t>
        </is>
      </c>
      <c r="D3" s="4" t="inlineStr">
        <is>
          <t>登录墙，需授权</t>
        </is>
      </c>
    </row>
    <row r="4">
      <c r="A4" s="4" t="inlineStr">
        <is>
          <t>期间出库数量</t>
        </is>
      </c>
      <c r="B4" s="4" t="inlineStr">
        <is>
          <t>统计期内该店铺出库/销售数量</t>
        </is>
      </c>
      <c r="C4" s="4" t="inlineStr">
        <is>
          <t>ERP 吉客云-销售单明细账</t>
        </is>
      </c>
      <c r="D4" s="4" t="inlineStr">
        <is>
          <t>与销售日报表核对</t>
        </is>
      </c>
    </row>
    <row r="5">
      <c r="A5" s="4" t="inlineStr">
        <is>
          <t>期间天数</t>
        </is>
      </c>
      <c r="B5" s="4" t="inlineStr">
        <is>
          <t>统计期自然天数（如月度=30/31）</t>
        </is>
      </c>
      <c r="C5" s="4" t="inlineStr">
        <is>
          <t>计算参数</t>
        </is>
      </c>
      <c r="D5" s="4" t="inlineStr">
        <is>
          <t>口径需与财务一致</t>
        </is>
      </c>
    </row>
    <row r="6">
      <c r="A6" s="4" t="inlineStr">
        <is>
          <t>日均出库</t>
        </is>
      </c>
      <c r="B6" s="4" t="inlineStr">
        <is>
          <t>期间出库数量 ÷ 期间天数（表内公式）</t>
        </is>
      </c>
      <c r="C6" s="4" t="inlineStr">
        <is>
          <t>计算列</t>
        </is>
      </c>
      <c r="D6" s="4" t="inlineStr">
        <is>
          <t>自动计算</t>
        </is>
      </c>
    </row>
    <row r="7">
      <c r="A7" s="4" t="inlineStr">
        <is>
          <t>周转天数</t>
        </is>
      </c>
      <c r="B7" s="4" t="inlineStr">
        <is>
          <t>期末库存数量 ÷ 日均出库（表内公式）</t>
        </is>
      </c>
      <c r="C7" s="4" t="inlineStr">
        <is>
          <t>计算列</t>
        </is>
      </c>
      <c r="D7" s="4" t="inlineStr">
        <is>
          <t>自动计算</t>
        </is>
      </c>
    </row>
    <row r="8">
      <c r="A8" s="4" t="inlineStr">
        <is>
          <t>阈值(天)</t>
        </is>
      </c>
      <c r="B8" s="4" t="inlineStr">
        <is>
          <t>判定「超周转」的周转天数上限</t>
        </is>
      </c>
      <c r="C8" s="4" t="inlineStr">
        <is>
          <t>业务确认（导图未定义）</t>
        </is>
      </c>
      <c r="D8" s="4" t="inlineStr">
        <is>
          <t>缺口：待补充</t>
        </is>
      </c>
    </row>
    <row r="9">
      <c r="A9" s="4" t="inlineStr">
        <is>
          <t>周转状态</t>
        </is>
      </c>
      <c r="B9" s="4" t="inlineStr">
        <is>
          <t>周转天数&gt;阈值→超周转；≤阈值→周转正常</t>
        </is>
      </c>
      <c r="C9" s="4" t="inlineStr">
        <is>
          <t>判定</t>
        </is>
      </c>
      <c r="D9" s="4" t="inlineStr">
        <is>
          <t>阈值缺失时留「待判定」</t>
        </is>
      </c>
    </row>
    <row r="10">
      <c r="A10" s="4" t="inlineStr">
        <is>
          <t>判定动作</t>
        </is>
      </c>
      <c r="B10" s="4" t="inlineStr">
        <is>
          <t>超周转→销售提升计划；正常→保持销售</t>
        </is>
      </c>
      <c r="C10" s="4" t="inlineStr">
        <is>
          <t>SOP 定义</t>
        </is>
      </c>
      <c r="D10" s="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16" customWidth="1" min="4" max="4"/>
    <col width="8" customWidth="1" min="5" max="5"/>
    <col width="14" customWidth="1" min="6" max="6"/>
  </cols>
  <sheetData>
    <row r="1">
      <c r="A1" s="2" t="inlineStr">
        <is>
          <t>#</t>
        </is>
      </c>
      <c r="B1" s="2" t="inlineStr">
        <is>
          <t>动作</t>
        </is>
      </c>
      <c r="C1" s="2" t="inlineStr">
        <is>
          <t>说明</t>
        </is>
      </c>
      <c r="D1" s="2" t="inlineStr">
        <is>
          <t>责任人/系统</t>
        </is>
      </c>
      <c r="E1" s="2" t="inlineStr">
        <is>
          <t>频率</t>
        </is>
      </c>
      <c r="F1" s="2" t="inlineStr">
        <is>
          <t>状态</t>
        </is>
      </c>
    </row>
    <row r="2">
      <c r="A2" s="4" t="n">
        <v>1</v>
      </c>
      <c r="B2" s="4" t="inlineStr">
        <is>
          <t>渠道库存周转监控（责任：陈华俊）</t>
        </is>
      </c>
      <c r="C2" s="4" t="inlineStr">
        <is>
          <t>对全部 17 个渠道门店盘点库存与周转情况</t>
        </is>
      </c>
      <c r="D2" s="4" t="inlineStr">
        <is>
          <t>陈华俊</t>
        </is>
      </c>
      <c r="E2" s="4" t="inlineStr">
        <is>
          <t>周期制</t>
        </is>
      </c>
      <c r="F2" s="4" t="inlineStr">
        <is>
          <t>待执行</t>
        </is>
      </c>
    </row>
    <row r="3">
      <c r="A3" s="4" t="n">
        <v>2</v>
      </c>
      <c r="B3" s="4" t="inlineStr">
        <is>
          <t>ERP 取数：吉客云 销售单明细账 &amp; 分仓库存查询</t>
        </is>
      </c>
      <c r="C3" s="4" t="inlineStr">
        <is>
          <t>按渠道/店铺拉取库存量与出库流水，作为周转计算底表</t>
        </is>
      </c>
      <c r="D3" s="4" t="inlineStr">
        <is>
          <t>ERP 系统 / 陈华俊</t>
        </is>
      </c>
      <c r="E3" s="4" t="inlineStr">
        <is>
          <t>取数</t>
        </is>
      </c>
      <c r="F3" s="4" t="inlineStr">
        <is>
          <t>阻塞：登录授权</t>
        </is>
      </c>
    </row>
    <row r="4">
      <c r="A4" s="4" t="n">
        <v>3</v>
      </c>
      <c r="B4" s="4" t="inlineStr">
        <is>
          <t>WORKBUDDY：生成库存周转报告</t>
        </is>
      </c>
      <c r="C4" s="4" t="inlineStr">
        <is>
          <t>汇总各渠道周转天数，自动分档并出报告</t>
        </is>
      </c>
      <c r="D4" s="4" t="inlineStr">
        <is>
          <t>WorkBuddy</t>
        </is>
      </c>
      <c r="E4" s="4" t="inlineStr">
        <is>
          <t>按次</t>
        </is>
      </c>
      <c r="F4" s="4" t="inlineStr">
        <is>
          <t>待喂数</t>
        </is>
      </c>
    </row>
    <row r="5">
      <c r="A5" s="4" t="n">
        <v>4</v>
      </c>
      <c r="B5" s="4" t="inlineStr">
        <is>
          <t>库存周转进度 · 判定</t>
        </is>
      </c>
      <c r="C5" s="4" t="inlineStr">
        <is>
          <t>分「超周转」与「周转正常」两类</t>
        </is>
      </c>
      <c r="D5" s="4" t="inlineStr">
        <is>
          <t>陈华俊</t>
        </is>
      </c>
      <c r="E5" s="4" t="inlineStr">
        <is>
          <t>按次</t>
        </is>
      </c>
      <c r="F5" s="4" t="inlineStr">
        <is>
          <t>待判定</t>
        </is>
      </c>
    </row>
    <row r="6">
      <c r="A6" s="4" t="n">
        <v>5</v>
      </c>
      <c r="B6" s="4" t="inlineStr">
        <is>
          <t>超周转 → 预期周转正常时间</t>
        </is>
      </c>
      <c r="C6" s="4" t="inlineStr">
        <is>
          <t>对超周转渠道测算清库/转正常时点</t>
        </is>
      </c>
      <c r="D6" s="4" t="inlineStr">
        <is>
          <t>陈华俊</t>
        </is>
      </c>
      <c r="E6" s="4" t="inlineStr">
        <is>
          <t>按次</t>
        </is>
      </c>
      <c r="F6" s="4" t="inlineStr">
        <is>
          <t>待判定</t>
        </is>
      </c>
    </row>
    <row r="7">
      <c r="A7" s="4" t="n">
        <v>6</v>
      </c>
      <c r="B7" s="4" t="inlineStr">
        <is>
          <t>超周转 → 渠道销售提升计划</t>
        </is>
      </c>
      <c r="C7" s="4" t="inlineStr">
        <is>
          <t>对超周转渠道给出促销/分销消化动作</t>
        </is>
      </c>
      <c r="D7" s="4" t="inlineStr">
        <is>
          <t>陈华俊</t>
        </is>
      </c>
      <c r="E7" s="4" t="inlineStr">
        <is>
          <t>按次</t>
        </is>
      </c>
      <c r="F7" s="4" t="inlineStr">
        <is>
          <t>待判定</t>
        </is>
      </c>
    </row>
    <row r="8">
      <c r="A8" s="4" t="n">
        <v>7</v>
      </c>
      <c r="B8" s="4" t="inlineStr">
        <is>
          <t>周转正常 → 保持销售</t>
        </is>
      </c>
      <c r="C8" s="4" t="inlineStr">
        <is>
          <t>周转正常渠道维持当前销售节奏</t>
        </is>
      </c>
      <c r="D8" s="4" t="inlineStr">
        <is>
          <t>陈华俊</t>
        </is>
      </c>
      <c r="E8" s="4" t="inlineStr">
        <is>
          <t>持续</t>
        </is>
      </c>
      <c r="F8" s="4" t="inlineStr">
        <is>
          <t>待判定</t>
        </is>
      </c>
    </row>
    <row r="9">
      <c r="A9" s="4" t="n">
        <v>8</v>
      </c>
      <c r="B9" s="4" t="inlineStr">
        <is>
          <t>财务：月度库存管理报表</t>
        </is>
      </c>
      <c r="C9" s="4" t="inlineStr">
        <is>
          <t>财务侧月度库存报表，与渠道侧口径对齐</t>
        </is>
      </c>
      <c r="D9" s="4" t="inlineStr">
        <is>
          <t>财务</t>
        </is>
      </c>
      <c r="E9" s="4" t="inlineStr">
        <is>
          <t>月度</t>
        </is>
      </c>
      <c r="F9" s="4" t="inlineStr">
        <is>
          <t>阻塞：登录墙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2026-09-14T08:54:12Z</dcterms:created>
  <dcterms:modified xmlns:dcterms="http://purl.org/dc/terms/" xmlns:xsi="http://www.w3.org/2001/XMLSchema-instance" xsi:type="dcterms:W3CDTF">2026-09-14T08:54:12Z</dcterms:modified>
</cp:coreProperties>
</file>